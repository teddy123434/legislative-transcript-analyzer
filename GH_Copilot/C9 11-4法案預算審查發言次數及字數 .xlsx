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teddy/Downloads/"/>
    </mc:Choice>
  </mc:AlternateContent>
  <xr:revisionPtr revIDLastSave="0" documentId="13_ncr:1_{69B47467-A8EF-9545-9329-5A1D295281F3}" xr6:coauthVersionLast="47" xr6:coauthVersionMax="47" xr10:uidLastSave="{00000000-0000-0000-0000-000000000000}"/>
  <bookViews>
    <workbookView xWindow="15120" yWindow="660" windowWidth="15120" windowHeight="17580" activeTab="1" xr2:uid="{00000000-000D-0000-FFFF-FFFF00000000}"/>
  </bookViews>
  <sheets>
    <sheet name="分數表" sheetId="1" r:id="rId1"/>
    <sheet name=" 內政" sheetId="2" r:id="rId2"/>
    <sheet name="外交國防" sheetId="3" r:id="rId3"/>
    <sheet name="經濟" sheetId="4" r:id="rId4"/>
    <sheet name=" 財政" sheetId="5" r:id="rId5"/>
    <sheet name="教育文化" sheetId="6" r:id="rId6"/>
    <sheet name="交通" sheetId="7" r:id="rId7"/>
    <sheet name=" 司法法制" sheetId="8" r:id="rId8"/>
    <sheet name="社福衛環" sheetId="9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Toc438040364" localSheetId="1">#REF!</definedName>
    <definedName name="_Toc438040364" localSheetId="7">#REF!</definedName>
    <definedName name="_Toc438040364" localSheetId="4">#REF!</definedName>
    <definedName name="_Toc438040364" localSheetId="2">#REF!</definedName>
    <definedName name="_Toc438040364" localSheetId="6">#REF!</definedName>
    <definedName name="_Toc438040364" localSheetId="8">#REF!</definedName>
    <definedName name="_Toc438040364" localSheetId="5">#REF!</definedName>
    <definedName name="_Toc438040364" localSheetId="3">#REF!</definedName>
    <definedName name="_Toc499885850" localSheetId="1">'[1] 內政'!#REF!</definedName>
    <definedName name="_Toc499885850" localSheetId="7">'[2] 司法法制'!#REF!</definedName>
    <definedName name="_Toc499885850" localSheetId="4">'[3] 財政'!#REF!</definedName>
    <definedName name="_Toc499885850" localSheetId="2">#REF!</definedName>
    <definedName name="_Toc499885850" localSheetId="6">[4]交通!#REF!</definedName>
    <definedName name="_Toc499885850" localSheetId="8">[5]社福衛環!#REF!</definedName>
    <definedName name="_Toc499885850" localSheetId="5">[6]教育文化!#REF!</definedName>
    <definedName name="_Toc499885850" localSheetId="3">[7]經濟!#REF!</definedName>
    <definedName name="_Toc501127871" localSheetId="1">#REF!</definedName>
    <definedName name="_Toc501127871" localSheetId="7">#REF!</definedName>
    <definedName name="_Toc501127871" localSheetId="4">#REF!</definedName>
    <definedName name="_Toc501127871" localSheetId="2">#REF!</definedName>
    <definedName name="_Toc501127871" localSheetId="6">#REF!</definedName>
    <definedName name="_Toc501127871" localSheetId="8">#REF!</definedName>
    <definedName name="_Toc501127871" localSheetId="5">#REF!</definedName>
    <definedName name="_Toc501127871" localSheetId="3">#REF!</definedName>
    <definedName name="_Toc502678091" localSheetId="1">#REF!</definedName>
    <definedName name="_Toc502678091" localSheetId="7">#REF!</definedName>
    <definedName name="_Toc502678091" localSheetId="4">#REF!</definedName>
    <definedName name="_Toc502678091" localSheetId="2">#REF!</definedName>
    <definedName name="_Toc502678091" localSheetId="6">#REF!</definedName>
    <definedName name="_Toc502678091" localSheetId="8">#REF!</definedName>
    <definedName name="_Toc502678091" localSheetId="5">#REF!</definedName>
    <definedName name="_Toc502678091" localSheetId="3">#REF!</definedName>
    <definedName name="出_席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7" roundtripDataChecksum="f80+hXdT6/6SpxPi9+GSOB3j+Hh8IqXcde0NWsajvZQ="/>
    </ext>
  </extLst>
</workbook>
</file>

<file path=xl/calcChain.xml><?xml version="1.0" encoding="utf-8"?>
<calcChain xmlns="http://schemas.openxmlformats.org/spreadsheetml/2006/main">
  <c r="E15" i="9" l="1"/>
  <c r="D75" i="1" s="1"/>
  <c r="F15" i="9"/>
  <c r="E74" i="1" s="1"/>
  <c r="G15" i="9"/>
  <c r="E75" i="1" s="1"/>
  <c r="H15" i="9"/>
  <c r="F74" i="1" s="1"/>
  <c r="I15" i="9"/>
  <c r="F75" i="1" s="1"/>
  <c r="J15" i="9"/>
  <c r="G74" i="1" s="1"/>
  <c r="K15" i="9"/>
  <c r="G75" i="1" s="1"/>
  <c r="L15" i="9"/>
  <c r="H74" i="1" s="1"/>
  <c r="M15" i="9"/>
  <c r="H75" i="1" s="1"/>
  <c r="N15" i="9"/>
  <c r="I74" i="1" s="1"/>
  <c r="O15" i="9"/>
  <c r="I75" i="1" s="1"/>
  <c r="P15" i="9"/>
  <c r="J74" i="1" s="1"/>
  <c r="Q15" i="9"/>
  <c r="J75" i="1" s="1"/>
  <c r="R15" i="9"/>
  <c r="K74" i="1" s="1"/>
  <c r="S15" i="9"/>
  <c r="K75" i="1" s="1"/>
  <c r="T15" i="9"/>
  <c r="L74" i="1" s="1"/>
  <c r="U15" i="9"/>
  <c r="L75" i="1" s="1"/>
  <c r="V15" i="9"/>
  <c r="M74" i="1" s="1"/>
  <c r="W15" i="9"/>
  <c r="M75" i="1" s="1"/>
  <c r="X15" i="9"/>
  <c r="N74" i="1" s="1"/>
  <c r="Y15" i="9"/>
  <c r="N75" i="1" s="1"/>
  <c r="Z15" i="9"/>
  <c r="O74" i="1" s="1"/>
  <c r="AA15" i="9"/>
  <c r="O75" i="1" s="1"/>
  <c r="AB15" i="9"/>
  <c r="P74" i="1" s="1"/>
  <c r="AC15" i="9"/>
  <c r="P75" i="1" s="1"/>
  <c r="AD15" i="9"/>
  <c r="Q74" i="1" s="1"/>
  <c r="AE15" i="9"/>
  <c r="AF15" i="9"/>
  <c r="R74" i="1" s="1"/>
  <c r="AG15" i="9"/>
  <c r="R75" i="1" s="1"/>
  <c r="D15" i="9"/>
  <c r="D74" i="1" s="1"/>
  <c r="E17" i="8"/>
  <c r="D65" i="1" s="1"/>
  <c r="F17" i="8"/>
  <c r="E64" i="1" s="1"/>
  <c r="G17" i="8"/>
  <c r="E65" i="1" s="1"/>
  <c r="H17" i="8"/>
  <c r="F64" i="1" s="1"/>
  <c r="I17" i="8"/>
  <c r="F65" i="1" s="1"/>
  <c r="J17" i="8"/>
  <c r="G64" i="1" s="1"/>
  <c r="K17" i="8"/>
  <c r="G65" i="1" s="1"/>
  <c r="L17" i="8"/>
  <c r="H64" i="1" s="1"/>
  <c r="M17" i="8"/>
  <c r="H65" i="1" s="1"/>
  <c r="N17" i="8"/>
  <c r="I64" i="1" s="1"/>
  <c r="O17" i="8"/>
  <c r="I65" i="1" s="1"/>
  <c r="P17" i="8"/>
  <c r="J64" i="1" s="1"/>
  <c r="Q17" i="8"/>
  <c r="J65" i="1" s="1"/>
  <c r="R17" i="8"/>
  <c r="K64" i="1" s="1"/>
  <c r="S17" i="8"/>
  <c r="K65" i="1" s="1"/>
  <c r="T17" i="8"/>
  <c r="L64" i="1" s="1"/>
  <c r="U17" i="8"/>
  <c r="L65" i="1" s="1"/>
  <c r="V17" i="8"/>
  <c r="M64" i="1" s="1"/>
  <c r="W17" i="8"/>
  <c r="M65" i="1" s="1"/>
  <c r="X17" i="8"/>
  <c r="N64" i="1" s="1"/>
  <c r="Y17" i="8"/>
  <c r="N65" i="1" s="1"/>
  <c r="Z17" i="8"/>
  <c r="O64" i="1" s="1"/>
  <c r="AA17" i="8"/>
  <c r="AB17" i="8"/>
  <c r="P64" i="1" s="1"/>
  <c r="AC17" i="8"/>
  <c r="P65" i="1" s="1"/>
  <c r="D17" i="8"/>
  <c r="D64" i="1" s="1"/>
  <c r="F18" i="5"/>
  <c r="E34" i="1" s="1"/>
  <c r="H18" i="5"/>
  <c r="F34" i="1" s="1"/>
  <c r="J18" i="5"/>
  <c r="G34" i="1" s="1"/>
  <c r="L18" i="5"/>
  <c r="H34" i="1" s="1"/>
  <c r="N18" i="5"/>
  <c r="I34" i="1" s="1"/>
  <c r="P18" i="5"/>
  <c r="J34" i="1" s="1"/>
  <c r="R18" i="5"/>
  <c r="K34" i="1" s="1"/>
  <c r="S18" i="5"/>
  <c r="K35" i="1" s="1"/>
  <c r="T18" i="5"/>
  <c r="L34" i="1" s="1"/>
  <c r="U18" i="5"/>
  <c r="L35" i="1" s="1"/>
  <c r="V18" i="5"/>
  <c r="M34" i="1" s="1"/>
  <c r="W18" i="5"/>
  <c r="M35" i="1" s="1"/>
  <c r="X18" i="5"/>
  <c r="N34" i="1" s="1"/>
  <c r="Z18" i="5"/>
  <c r="O34" i="1" s="1"/>
  <c r="AB18" i="5"/>
  <c r="P34" i="1" s="1"/>
  <c r="AC18" i="5"/>
  <c r="P35" i="1" s="1"/>
  <c r="AD18" i="5"/>
  <c r="Q34" i="1" s="1"/>
  <c r="AE18" i="5"/>
  <c r="Q35" i="1" s="1"/>
  <c r="D18" i="5"/>
  <c r="D34" i="1" s="1"/>
  <c r="E15" i="7"/>
  <c r="D55" i="1" s="1"/>
  <c r="F15" i="7"/>
  <c r="E54" i="1" s="1"/>
  <c r="G15" i="7"/>
  <c r="E55" i="1" s="1"/>
  <c r="H15" i="7"/>
  <c r="F54" i="1" s="1"/>
  <c r="I15" i="7"/>
  <c r="F55" i="1" s="1"/>
  <c r="J15" i="7"/>
  <c r="G54" i="1" s="1"/>
  <c r="K15" i="7"/>
  <c r="G55" i="1" s="1"/>
  <c r="L15" i="7"/>
  <c r="H54" i="1" s="1"/>
  <c r="M15" i="7"/>
  <c r="H55" i="1" s="1"/>
  <c r="N15" i="7"/>
  <c r="I54" i="1" s="1"/>
  <c r="O15" i="7"/>
  <c r="I55" i="1" s="1"/>
  <c r="P15" i="7"/>
  <c r="J54" i="1" s="1"/>
  <c r="Q15" i="7"/>
  <c r="J55" i="1" s="1"/>
  <c r="R15" i="7"/>
  <c r="K54" i="1" s="1"/>
  <c r="S15" i="7"/>
  <c r="K55" i="1" s="1"/>
  <c r="T15" i="7"/>
  <c r="L54" i="1" s="1"/>
  <c r="U15" i="7"/>
  <c r="L55" i="1" s="1"/>
  <c r="V15" i="7"/>
  <c r="M54" i="1" s="1"/>
  <c r="W15" i="7"/>
  <c r="M55" i="1" s="1"/>
  <c r="X15" i="7"/>
  <c r="N54" i="1" s="1"/>
  <c r="Y15" i="7"/>
  <c r="N55" i="1" s="1"/>
  <c r="Z15" i="7"/>
  <c r="O54" i="1" s="1"/>
  <c r="AA15" i="7"/>
  <c r="O55" i="1" s="1"/>
  <c r="AB15" i="7"/>
  <c r="P54" i="1" s="1"/>
  <c r="AC15" i="7"/>
  <c r="P55" i="1" s="1"/>
  <c r="AD15" i="7"/>
  <c r="Q54" i="1" s="1"/>
  <c r="AE15" i="7"/>
  <c r="Q55" i="1" s="1"/>
  <c r="AF15" i="7"/>
  <c r="R54" i="1" s="1"/>
  <c r="AG15" i="7"/>
  <c r="R55" i="1" s="1"/>
  <c r="D15" i="7"/>
  <c r="D54" i="1" s="1"/>
  <c r="E15" i="6"/>
  <c r="D45" i="1" s="1"/>
  <c r="F15" i="6"/>
  <c r="E44" i="1" s="1"/>
  <c r="G15" i="6"/>
  <c r="E45" i="1" s="1"/>
  <c r="H15" i="6"/>
  <c r="F44" i="1" s="1"/>
  <c r="I15" i="6"/>
  <c r="F45" i="1" s="1"/>
  <c r="J15" i="6"/>
  <c r="G44" i="1" s="1"/>
  <c r="K15" i="6"/>
  <c r="G45" i="1" s="1"/>
  <c r="L15" i="6"/>
  <c r="H44" i="1" s="1"/>
  <c r="M15" i="6"/>
  <c r="H45" i="1" s="1"/>
  <c r="N15" i="6"/>
  <c r="I44" i="1" s="1"/>
  <c r="O15" i="6"/>
  <c r="I45" i="1" s="1"/>
  <c r="P15" i="6"/>
  <c r="J44" i="1" s="1"/>
  <c r="Q15" i="6"/>
  <c r="J45" i="1" s="1"/>
  <c r="R15" i="6"/>
  <c r="K44" i="1" s="1"/>
  <c r="S15" i="6"/>
  <c r="K45" i="1" s="1"/>
  <c r="T15" i="6"/>
  <c r="L44" i="1" s="1"/>
  <c r="U15" i="6"/>
  <c r="L45" i="1" s="1"/>
  <c r="V15" i="6"/>
  <c r="M44" i="1" s="1"/>
  <c r="W15" i="6"/>
  <c r="M45" i="1" s="1"/>
  <c r="X15" i="6"/>
  <c r="N44" i="1" s="1"/>
  <c r="Y15" i="6"/>
  <c r="N45" i="1" s="1"/>
  <c r="Z15" i="6"/>
  <c r="O44" i="1" s="1"/>
  <c r="AA15" i="6"/>
  <c r="O45" i="1" s="1"/>
  <c r="AB15" i="6"/>
  <c r="P44" i="1" s="1"/>
  <c r="AC15" i="6"/>
  <c r="P45" i="1" s="1"/>
  <c r="AD15" i="6"/>
  <c r="Q44" i="1" s="1"/>
  <c r="AE15" i="6"/>
  <c r="Q45" i="1" s="1"/>
  <c r="AF15" i="6"/>
  <c r="R44" i="1" s="1"/>
  <c r="AG15" i="6"/>
  <c r="R45" i="1" s="1"/>
  <c r="D15" i="6"/>
  <c r="D44" i="1" s="1"/>
  <c r="E13" i="4"/>
  <c r="D25" i="1" s="1"/>
  <c r="F13" i="4"/>
  <c r="E24" i="1" s="1"/>
  <c r="G13" i="4"/>
  <c r="E25" i="1" s="1"/>
  <c r="H13" i="4"/>
  <c r="F24" i="1" s="1"/>
  <c r="I13" i="4"/>
  <c r="F25" i="1" s="1"/>
  <c r="J13" i="4"/>
  <c r="G24" i="1" s="1"/>
  <c r="K13" i="4"/>
  <c r="G25" i="1" s="1"/>
  <c r="L13" i="4"/>
  <c r="H24" i="1" s="1"/>
  <c r="M13" i="4"/>
  <c r="H25" i="1" s="1"/>
  <c r="N13" i="4"/>
  <c r="I24" i="1" s="1"/>
  <c r="O13" i="4"/>
  <c r="I25" i="1" s="1"/>
  <c r="P13" i="4"/>
  <c r="J24" i="1" s="1"/>
  <c r="Q13" i="4"/>
  <c r="J25" i="1" s="1"/>
  <c r="R13" i="4"/>
  <c r="K24" i="1" s="1"/>
  <c r="S13" i="4"/>
  <c r="K25" i="1" s="1"/>
  <c r="T13" i="4"/>
  <c r="L24" i="1" s="1"/>
  <c r="U13" i="4"/>
  <c r="L25" i="1" s="1"/>
  <c r="V13" i="4"/>
  <c r="M24" i="1" s="1"/>
  <c r="W13" i="4"/>
  <c r="M25" i="1" s="1"/>
  <c r="X13" i="4"/>
  <c r="N24" i="1" s="1"/>
  <c r="Y13" i="4"/>
  <c r="N25" i="1" s="1"/>
  <c r="Z13" i="4"/>
  <c r="O24" i="1" s="1"/>
  <c r="AA13" i="4"/>
  <c r="O25" i="1" s="1"/>
  <c r="AB13" i="4"/>
  <c r="P24" i="1" s="1"/>
  <c r="AC13" i="4"/>
  <c r="P25" i="1" s="1"/>
  <c r="AD13" i="4"/>
  <c r="Q24" i="1" s="1"/>
  <c r="AE13" i="4"/>
  <c r="Q25" i="1" s="1"/>
  <c r="D13" i="4"/>
  <c r="D24" i="1" s="1"/>
  <c r="E14" i="3"/>
  <c r="D15" i="1" s="1"/>
  <c r="F14" i="3"/>
  <c r="E14" i="1" s="1"/>
  <c r="G14" i="3"/>
  <c r="E15" i="1" s="1"/>
  <c r="H14" i="3"/>
  <c r="F14" i="1" s="1"/>
  <c r="I14" i="3"/>
  <c r="F15" i="1" s="1"/>
  <c r="J14" i="3"/>
  <c r="G14" i="1" s="1"/>
  <c r="K14" i="3"/>
  <c r="G15" i="1" s="1"/>
  <c r="L14" i="3"/>
  <c r="H14" i="1" s="1"/>
  <c r="M14" i="3"/>
  <c r="H15" i="1" s="1"/>
  <c r="N14" i="3"/>
  <c r="I14" i="1" s="1"/>
  <c r="O14" i="3"/>
  <c r="I15" i="1" s="1"/>
  <c r="P14" i="3"/>
  <c r="J14" i="1" s="1"/>
  <c r="Q14" i="3"/>
  <c r="J15" i="1" s="1"/>
  <c r="R14" i="3"/>
  <c r="K14" i="1" s="1"/>
  <c r="S14" i="3"/>
  <c r="K15" i="1" s="1"/>
  <c r="T14" i="3"/>
  <c r="L14" i="1" s="1"/>
  <c r="U14" i="3"/>
  <c r="L15" i="1" s="1"/>
  <c r="V14" i="3"/>
  <c r="M14" i="1" s="1"/>
  <c r="W14" i="3"/>
  <c r="M15" i="1" s="1"/>
  <c r="X14" i="3"/>
  <c r="N14" i="1" s="1"/>
  <c r="Y14" i="3"/>
  <c r="N15" i="1" s="1"/>
  <c r="Z14" i="3"/>
  <c r="O14" i="1" s="1"/>
  <c r="AA14" i="3"/>
  <c r="O15" i="1" s="1"/>
  <c r="AB14" i="3"/>
  <c r="P14" i="1" s="1"/>
  <c r="AC14" i="3"/>
  <c r="P15" i="1" s="1"/>
  <c r="D14" i="3"/>
  <c r="D14" i="1" s="1"/>
  <c r="E26" i="2"/>
  <c r="D5" i="1" s="1"/>
  <c r="F26" i="2"/>
  <c r="E4" i="1" s="1"/>
  <c r="G26" i="2"/>
  <c r="E5" i="1" s="1"/>
  <c r="H26" i="2"/>
  <c r="F4" i="1" s="1"/>
  <c r="I26" i="2"/>
  <c r="F5" i="1" s="1"/>
  <c r="J26" i="2"/>
  <c r="G4" i="1" s="1"/>
  <c r="K26" i="2"/>
  <c r="G5" i="1" s="1"/>
  <c r="L26" i="2"/>
  <c r="H4" i="1" s="1"/>
  <c r="M26" i="2"/>
  <c r="H5" i="1" s="1"/>
  <c r="N26" i="2"/>
  <c r="I4" i="1" s="1"/>
  <c r="O26" i="2"/>
  <c r="I5" i="1" s="1"/>
  <c r="P26" i="2"/>
  <c r="J4" i="1" s="1"/>
  <c r="Q26" i="2"/>
  <c r="J5" i="1" s="1"/>
  <c r="R26" i="2"/>
  <c r="K4" i="1" s="1"/>
  <c r="S26" i="2"/>
  <c r="K5" i="1" s="1"/>
  <c r="T26" i="2"/>
  <c r="L4" i="1" s="1"/>
  <c r="U26" i="2"/>
  <c r="L5" i="1" s="1"/>
  <c r="V26" i="2"/>
  <c r="M4" i="1" s="1"/>
  <c r="W26" i="2"/>
  <c r="M5" i="1" s="1"/>
  <c r="X26" i="2"/>
  <c r="N4" i="1" s="1"/>
  <c r="Y26" i="2"/>
  <c r="N5" i="1" s="1"/>
  <c r="Z26" i="2"/>
  <c r="O4" i="1" s="1"/>
  <c r="AA26" i="2"/>
  <c r="O5" i="1" s="1"/>
  <c r="AB26" i="2"/>
  <c r="P4" i="1" s="1"/>
  <c r="AC26" i="2"/>
  <c r="P5" i="1" s="1"/>
  <c r="AD26" i="2"/>
  <c r="Q4" i="1" s="1"/>
  <c r="AE26" i="2"/>
  <c r="Q5" i="1" s="1"/>
  <c r="D26" i="2"/>
  <c r="D4" i="1" s="1"/>
  <c r="M18" i="5"/>
  <c r="H35" i="1" s="1"/>
  <c r="B4" i="1" l="1"/>
  <c r="B5" i="1"/>
  <c r="A74" i="1"/>
  <c r="B74" i="1"/>
  <c r="O65" i="1"/>
  <c r="Q75" i="1"/>
  <c r="B64" i="1"/>
  <c r="B55" i="1"/>
  <c r="B54" i="1"/>
  <c r="B45" i="1"/>
  <c r="B44" i="1"/>
  <c r="B34" i="1"/>
  <c r="B25" i="1"/>
  <c r="B24" i="1"/>
  <c r="B15" i="1"/>
  <c r="A15" i="1"/>
  <c r="B14" i="1"/>
  <c r="I17" i="1" s="1"/>
  <c r="K17" i="1"/>
  <c r="K19" i="1"/>
  <c r="D19" i="1"/>
  <c r="D17" i="1"/>
  <c r="A14" i="1"/>
  <c r="D18" i="1"/>
  <c r="D16" i="1"/>
  <c r="B65" i="1"/>
  <c r="AA18" i="5"/>
  <c r="O35" i="1" s="1"/>
  <c r="Y18" i="5"/>
  <c r="N35" i="1" s="1"/>
  <c r="O18" i="5"/>
  <c r="I35" i="1" s="1"/>
  <c r="K18" i="5"/>
  <c r="G35" i="1" s="1"/>
  <c r="I18" i="5"/>
  <c r="F35" i="1" s="1"/>
  <c r="Q18" i="5"/>
  <c r="J35" i="1" s="1"/>
  <c r="G18" i="5"/>
  <c r="E35" i="1" s="1"/>
  <c r="A55" i="1"/>
  <c r="A54" i="1"/>
  <c r="B75" i="1" l="1"/>
  <c r="R77" i="1" s="1"/>
  <c r="A75" i="1"/>
  <c r="R76" i="1" s="1"/>
  <c r="B35" i="1"/>
  <c r="L17" i="1"/>
  <c r="J19" i="1"/>
  <c r="J17" i="1"/>
  <c r="L19" i="1"/>
  <c r="F19" i="1"/>
  <c r="F17" i="1"/>
  <c r="G17" i="1"/>
  <c r="E19" i="1"/>
  <c r="G19" i="1"/>
  <c r="H17" i="1"/>
  <c r="N19" i="1"/>
  <c r="O17" i="1"/>
  <c r="M19" i="1"/>
  <c r="P17" i="1"/>
  <c r="I19" i="1"/>
  <c r="E17" i="1"/>
  <c r="O19" i="1"/>
  <c r="N17" i="1"/>
  <c r="H19" i="1"/>
  <c r="M17" i="1"/>
  <c r="P19" i="1"/>
  <c r="P18" i="1"/>
  <c r="N18" i="1"/>
  <c r="P16" i="1"/>
  <c r="J16" i="1"/>
  <c r="H18" i="1"/>
  <c r="M16" i="1"/>
  <c r="L16" i="1"/>
  <c r="H16" i="1"/>
  <c r="F16" i="1"/>
  <c r="E16" i="1"/>
  <c r="L18" i="1"/>
  <c r="F18" i="1"/>
  <c r="K16" i="1"/>
  <c r="K18" i="1"/>
  <c r="O18" i="1"/>
  <c r="I18" i="1"/>
  <c r="M18" i="1"/>
  <c r="E18" i="1"/>
  <c r="G18" i="1"/>
  <c r="I16" i="1"/>
  <c r="N16" i="1"/>
  <c r="G16" i="1"/>
  <c r="O16" i="1"/>
  <c r="J18" i="1"/>
  <c r="E18" i="5"/>
  <c r="D35" i="1" s="1"/>
  <c r="G76" i="1"/>
  <c r="K79" i="1"/>
  <c r="K78" i="1"/>
  <c r="J76" i="1"/>
  <c r="O58" i="1"/>
  <c r="R58" i="1"/>
  <c r="Q77" i="1"/>
  <c r="G79" i="1"/>
  <c r="L79" i="1"/>
  <c r="L77" i="1"/>
  <c r="O79" i="1"/>
  <c r="D77" i="1"/>
  <c r="D79" i="1"/>
  <c r="R79" i="1"/>
  <c r="I77" i="1"/>
  <c r="F57" i="1"/>
  <c r="K58" i="1"/>
  <c r="E56" i="1"/>
  <c r="H56" i="1"/>
  <c r="I56" i="1"/>
  <c r="M56" i="1"/>
  <c r="P56" i="1"/>
  <c r="Q56" i="1"/>
  <c r="G58" i="1"/>
  <c r="J58" i="1"/>
  <c r="A25" i="1"/>
  <c r="A65" i="1"/>
  <c r="M28" i="1"/>
  <c r="A45" i="1"/>
  <c r="N57" i="1"/>
  <c r="A44" i="1"/>
  <c r="R59" i="1"/>
  <c r="N59" i="1"/>
  <c r="J59" i="1"/>
  <c r="F59" i="1"/>
  <c r="P57" i="1"/>
  <c r="L57" i="1"/>
  <c r="H57" i="1"/>
  <c r="D57" i="1"/>
  <c r="Q59" i="1"/>
  <c r="M59" i="1"/>
  <c r="I59" i="1"/>
  <c r="E59" i="1"/>
  <c r="O57" i="1"/>
  <c r="K57" i="1"/>
  <c r="G57" i="1"/>
  <c r="P59" i="1"/>
  <c r="H59" i="1"/>
  <c r="O59" i="1"/>
  <c r="G59" i="1"/>
  <c r="M57" i="1"/>
  <c r="E57" i="1"/>
  <c r="D59" i="1"/>
  <c r="A4" i="1"/>
  <c r="R78" i="1"/>
  <c r="J78" i="1"/>
  <c r="N76" i="1"/>
  <c r="F76" i="1"/>
  <c r="O78" i="1"/>
  <c r="G78" i="1"/>
  <c r="K76" i="1"/>
  <c r="O76" i="1"/>
  <c r="A34" i="1"/>
  <c r="Q57" i="1"/>
  <c r="K59" i="1"/>
  <c r="I57" i="1"/>
  <c r="R57" i="1"/>
  <c r="L59" i="1"/>
  <c r="A24" i="1"/>
  <c r="J57" i="1"/>
  <c r="A64" i="1"/>
  <c r="F78" i="1"/>
  <c r="Q58" i="1"/>
  <c r="M58" i="1"/>
  <c r="I58" i="1"/>
  <c r="E58" i="1"/>
  <c r="O56" i="1"/>
  <c r="K56" i="1"/>
  <c r="G56" i="1"/>
  <c r="P58" i="1"/>
  <c r="L58" i="1"/>
  <c r="H58" i="1"/>
  <c r="D58" i="1"/>
  <c r="R56" i="1"/>
  <c r="N56" i="1"/>
  <c r="J56" i="1"/>
  <c r="F56" i="1"/>
  <c r="D56" i="1"/>
  <c r="L56" i="1"/>
  <c r="F58" i="1"/>
  <c r="N58" i="1"/>
  <c r="E77" i="1"/>
  <c r="M77" i="1"/>
  <c r="H79" i="1"/>
  <c r="P79" i="1"/>
  <c r="Q78" i="1"/>
  <c r="H77" i="1"/>
  <c r="P77" i="1"/>
  <c r="D76" i="1"/>
  <c r="H76" i="1"/>
  <c r="L76" i="1"/>
  <c r="P76" i="1"/>
  <c r="F77" i="1"/>
  <c r="J77" i="1"/>
  <c r="N77" i="1"/>
  <c r="D78" i="1"/>
  <c r="H78" i="1"/>
  <c r="L78" i="1"/>
  <c r="P78" i="1"/>
  <c r="E79" i="1"/>
  <c r="I79" i="1"/>
  <c r="M79" i="1"/>
  <c r="Q79" i="1"/>
  <c r="E76" i="1"/>
  <c r="I76" i="1"/>
  <c r="M76" i="1"/>
  <c r="Q76" i="1"/>
  <c r="G77" i="1"/>
  <c r="K77" i="1"/>
  <c r="O77" i="1"/>
  <c r="E78" i="1"/>
  <c r="I78" i="1"/>
  <c r="M78" i="1"/>
  <c r="F79" i="1"/>
  <c r="J79" i="1"/>
  <c r="N79" i="1"/>
  <c r="N78" i="1" l="1"/>
  <c r="N68" i="1"/>
  <c r="L67" i="1"/>
  <c r="J69" i="1"/>
  <c r="L66" i="1"/>
  <c r="H48" i="1"/>
  <c r="I66" i="1"/>
  <c r="M69" i="1"/>
  <c r="K67" i="1"/>
  <c r="K47" i="1"/>
  <c r="M29" i="1"/>
  <c r="M27" i="1"/>
  <c r="K27" i="1"/>
  <c r="H27" i="1"/>
  <c r="Q28" i="1"/>
  <c r="P28" i="1"/>
  <c r="L27" i="1"/>
  <c r="F28" i="1"/>
  <c r="E27" i="1"/>
  <c r="O27" i="1"/>
  <c r="D28" i="1"/>
  <c r="J27" i="1"/>
  <c r="I27" i="1"/>
  <c r="Q27" i="1"/>
  <c r="D27" i="1"/>
  <c r="J28" i="1"/>
  <c r="K28" i="1"/>
  <c r="I28" i="1"/>
  <c r="G28" i="1"/>
  <c r="G27" i="1"/>
  <c r="F27" i="1"/>
  <c r="N27" i="1"/>
  <c r="N28" i="1"/>
  <c r="H66" i="1"/>
  <c r="J68" i="1"/>
  <c r="P66" i="1"/>
  <c r="M66" i="1"/>
  <c r="J66" i="1"/>
  <c r="N69" i="1"/>
  <c r="K66" i="1"/>
  <c r="G68" i="1"/>
  <c r="F68" i="1"/>
  <c r="O66" i="1"/>
  <c r="K68" i="1"/>
  <c r="D66" i="1"/>
  <c r="E66" i="1"/>
  <c r="F66" i="1"/>
  <c r="K49" i="1"/>
  <c r="N47" i="1"/>
  <c r="D49" i="1"/>
  <c r="N49" i="1"/>
  <c r="R48" i="1"/>
  <c r="K48" i="1"/>
  <c r="J46" i="1"/>
  <c r="I49" i="1"/>
  <c r="M48" i="1"/>
  <c r="O46" i="1"/>
  <c r="D47" i="1"/>
  <c r="M49" i="1"/>
  <c r="J49" i="1"/>
  <c r="Q47" i="1"/>
  <c r="I47" i="1"/>
  <c r="O49" i="1"/>
  <c r="G47" i="1"/>
  <c r="E49" i="1"/>
  <c r="D29" i="1"/>
  <c r="H26" i="1"/>
  <c r="L29" i="1"/>
  <c r="O26" i="1"/>
  <c r="L28" i="1"/>
  <c r="D26" i="1"/>
  <c r="E28" i="1"/>
  <c r="O28" i="1"/>
  <c r="H28" i="1"/>
  <c r="P27" i="1"/>
  <c r="M67" i="1"/>
  <c r="E67" i="1"/>
  <c r="P69" i="1"/>
  <c r="H69" i="1"/>
  <c r="I67" i="1"/>
  <c r="L69" i="1"/>
  <c r="F67" i="1"/>
  <c r="N67" i="1"/>
  <c r="D69" i="1"/>
  <c r="G67" i="1"/>
  <c r="Q46" i="1"/>
  <c r="I69" i="1"/>
  <c r="E39" i="1"/>
  <c r="A35" i="1"/>
  <c r="Q38" i="1" s="1"/>
  <c r="H67" i="1"/>
  <c r="O69" i="1"/>
  <c r="J67" i="1"/>
  <c r="N48" i="1"/>
  <c r="I26" i="1"/>
  <c r="F26" i="1"/>
  <c r="J26" i="1"/>
  <c r="N29" i="1"/>
  <c r="M26" i="1"/>
  <c r="Q26" i="1"/>
  <c r="P29" i="1"/>
  <c r="P26" i="1"/>
  <c r="F29" i="1"/>
  <c r="E26" i="1"/>
  <c r="H29" i="1"/>
  <c r="Q29" i="1"/>
  <c r="K26" i="1"/>
  <c r="E29" i="1"/>
  <c r="G29" i="1"/>
  <c r="L48" i="1"/>
  <c r="F46" i="1"/>
  <c r="P46" i="1"/>
  <c r="H46" i="1"/>
  <c r="L46" i="1"/>
  <c r="O48" i="1"/>
  <c r="D46" i="1"/>
  <c r="F48" i="1"/>
  <c r="M46" i="1"/>
  <c r="M47" i="1"/>
  <c r="E48" i="1"/>
  <c r="E69" i="1"/>
  <c r="O7" i="1"/>
  <c r="A5" i="1"/>
  <c r="P6" i="1" s="1"/>
  <c r="D67" i="1"/>
  <c r="H47" i="1"/>
  <c r="F69" i="1"/>
  <c r="R47" i="1"/>
  <c r="O29" i="1"/>
  <c r="I46" i="1"/>
  <c r="I29" i="1"/>
  <c r="G48" i="1"/>
  <c r="Q49" i="1"/>
  <c r="K46" i="1"/>
  <c r="O67" i="1"/>
  <c r="R46" i="1"/>
  <c r="I48" i="1"/>
  <c r="D48" i="1"/>
  <c r="L26" i="1"/>
  <c r="G46" i="1"/>
  <c r="G26" i="1"/>
  <c r="J29" i="1"/>
  <c r="E46" i="1"/>
  <c r="N26" i="1"/>
  <c r="P48" i="1"/>
  <c r="P67" i="1"/>
  <c r="P68" i="1"/>
  <c r="H68" i="1"/>
  <c r="M68" i="1"/>
  <c r="E68" i="1"/>
  <c r="L68" i="1"/>
  <c r="I68" i="1"/>
  <c r="D68" i="1"/>
  <c r="N66" i="1"/>
  <c r="P47" i="1"/>
  <c r="G49" i="1"/>
  <c r="N46" i="1"/>
  <c r="J48" i="1"/>
  <c r="Q48" i="1"/>
  <c r="O68" i="1"/>
  <c r="R49" i="1"/>
  <c r="K29" i="1"/>
  <c r="G69" i="1"/>
  <c r="K69" i="1"/>
  <c r="F49" i="1"/>
  <c r="L47" i="1"/>
  <c r="H49" i="1"/>
  <c r="F47" i="1"/>
  <c r="L49" i="1"/>
  <c r="J47" i="1"/>
  <c r="P49" i="1"/>
  <c r="O47" i="1"/>
  <c r="G66" i="1"/>
  <c r="E47" i="1"/>
  <c r="N39" i="1" l="1"/>
  <c r="Q36" i="1"/>
  <c r="N37" i="1"/>
  <c r="L37" i="1"/>
  <c r="J39" i="1"/>
  <c r="Q37" i="1"/>
  <c r="E37" i="1"/>
  <c r="F39" i="1"/>
  <c r="K39" i="1"/>
  <c r="O39" i="1"/>
  <c r="L38" i="1"/>
  <c r="G37" i="1"/>
  <c r="H39" i="1"/>
  <c r="O37" i="1"/>
  <c r="P39" i="1"/>
  <c r="K37" i="1"/>
  <c r="D39" i="1"/>
  <c r="G39" i="1"/>
  <c r="P37" i="1"/>
  <c r="K38" i="1"/>
  <c r="F36" i="1"/>
  <c r="I38" i="1"/>
  <c r="K36" i="1"/>
  <c r="H38" i="1"/>
  <c r="P36" i="1"/>
  <c r="J37" i="1"/>
  <c r="Q39" i="1"/>
  <c r="Q8" i="1"/>
  <c r="I6" i="1"/>
  <c r="P8" i="1"/>
  <c r="D8" i="1"/>
  <c r="J8" i="1"/>
  <c r="Q6" i="1"/>
  <c r="H6" i="1"/>
  <c r="D6" i="1"/>
  <c r="L6" i="1"/>
  <c r="F8" i="1"/>
  <c r="J6" i="1"/>
  <c r="K8" i="1"/>
  <c r="F6" i="1"/>
  <c r="L8" i="1"/>
  <c r="H8" i="1"/>
  <c r="J7" i="1"/>
  <c r="D7" i="1"/>
  <c r="Q7" i="1"/>
  <c r="H7" i="1"/>
  <c r="I9" i="1"/>
  <c r="N7" i="1"/>
  <c r="K9" i="1"/>
  <c r="M9" i="1"/>
  <c r="I7" i="1"/>
  <c r="M7" i="1"/>
  <c r="Q9" i="1"/>
  <c r="F7" i="1"/>
  <c r="G9" i="1"/>
  <c r="G7" i="1"/>
  <c r="N9" i="1"/>
  <c r="L7" i="1"/>
  <c r="E36" i="1"/>
  <c r="L36" i="1"/>
  <c r="H36" i="1"/>
  <c r="L9" i="1"/>
  <c r="E9" i="1"/>
  <c r="M38" i="1"/>
  <c r="J9" i="1"/>
  <c r="E7" i="1"/>
  <c r="K7" i="1"/>
  <c r="P7" i="1"/>
  <c r="P9" i="1"/>
  <c r="O38" i="1"/>
  <c r="G38" i="1"/>
  <c r="J36" i="1"/>
  <c r="M36" i="1"/>
  <c r="D38" i="1"/>
  <c r="H37" i="1"/>
  <c r="D37" i="1"/>
  <c r="M39" i="1"/>
  <c r="F37" i="1"/>
  <c r="O36" i="1"/>
  <c r="D36" i="1"/>
  <c r="I39" i="1"/>
  <c r="H9" i="1"/>
  <c r="I36" i="1"/>
  <c r="F38" i="1"/>
  <c r="J38" i="1"/>
  <c r="P38" i="1"/>
  <c r="F9" i="1"/>
  <c r="N36" i="1"/>
  <c r="G36" i="1"/>
  <c r="D9" i="1"/>
  <c r="O9" i="1"/>
  <c r="I8" i="1"/>
  <c r="K6" i="1"/>
  <c r="E8" i="1"/>
  <c r="G8" i="1"/>
  <c r="N6" i="1"/>
  <c r="O8" i="1"/>
  <c r="E6" i="1"/>
  <c r="G6" i="1"/>
  <c r="M6" i="1"/>
  <c r="O6" i="1"/>
  <c r="N8" i="1"/>
  <c r="M8" i="1"/>
  <c r="L39" i="1"/>
  <c r="N38" i="1"/>
  <c r="M37" i="1"/>
  <c r="I37" i="1"/>
</calcChain>
</file>

<file path=xl/sharedStrings.xml><?xml version="1.0" encoding="utf-8"?>
<sst xmlns="http://schemas.openxmlformats.org/spreadsheetml/2006/main" count="909" uniqueCount="155">
  <si>
    <t>內政</t>
  </si>
  <si>
    <t>政黨</t>
  </si>
  <si>
    <t>民進黨</t>
  </si>
  <si>
    <t>國民黨</t>
  </si>
  <si>
    <t>民眾黨</t>
  </si>
  <si>
    <t>無黨籍</t>
  </si>
  <si>
    <t>平均</t>
  </si>
  <si>
    <t>去召委平均</t>
  </si>
  <si>
    <t>委員姓名</t>
  </si>
  <si>
    <t>張宏陸</t>
  </si>
  <si>
    <t>吳琪銘</t>
  </si>
  <si>
    <t>王美惠</t>
  </si>
  <si>
    <t>蘇巧慧</t>
  </si>
  <si>
    <t>李柏毅</t>
  </si>
  <si>
    <t>黃捷</t>
  </si>
  <si>
    <t>牛煦庭</t>
  </si>
  <si>
    <t>徐欣瑩</t>
  </si>
  <si>
    <t>黃建賓</t>
  </si>
  <si>
    <t>張智倫</t>
  </si>
  <si>
    <t>許宇甄</t>
  </si>
  <si>
    <t>丁學忠</t>
  </si>
  <si>
    <t>麥玉珍</t>
  </si>
  <si>
    <t>高金素梅</t>
  </si>
  <si>
    <t>次數</t>
  </si>
  <si>
    <t>字數</t>
  </si>
  <si>
    <t>全統計參與(滿分五分)</t>
  </si>
  <si>
    <t>去召委統計參與(滿分五分)</t>
  </si>
  <si>
    <t>全統計參與(滿分三分)</t>
  </si>
  <si>
    <t>去召委統計參與(滿分三分)</t>
  </si>
  <si>
    <t>外交國防</t>
  </si>
  <si>
    <t>沈伯洋</t>
  </si>
  <si>
    <t>王定宇</t>
  </si>
  <si>
    <t>陳冠廷</t>
  </si>
  <si>
    <t>陳俊宇</t>
  </si>
  <si>
    <t>羅美玲</t>
  </si>
  <si>
    <t>林楚茵</t>
  </si>
  <si>
    <t>黃仁</t>
  </si>
  <si>
    <t>韓國瑜</t>
  </si>
  <si>
    <t>江啟臣</t>
  </si>
  <si>
    <t>馬文君</t>
  </si>
  <si>
    <t>徐巧芯</t>
  </si>
  <si>
    <t>陳永康</t>
  </si>
  <si>
    <t>林憶君</t>
  </si>
  <si>
    <t>經濟</t>
  </si>
  <si>
    <t>蔡易餘</t>
  </si>
  <si>
    <t>林岱樺</t>
  </si>
  <si>
    <t>邱議瑩</t>
  </si>
  <si>
    <t>邱志偉</t>
  </si>
  <si>
    <t>陳亭妃</t>
  </si>
  <si>
    <t>賴瑞隆</t>
  </si>
  <si>
    <t>謝衣鳯</t>
  </si>
  <si>
    <t>楊瓊瓔</t>
  </si>
  <si>
    <t>鄭天財</t>
  </si>
  <si>
    <t>呂玉玲</t>
  </si>
  <si>
    <t>張嘉郡</t>
  </si>
  <si>
    <t>鄭正鈐</t>
  </si>
  <si>
    <t>張啓楷</t>
  </si>
  <si>
    <t>陳超明</t>
  </si>
  <si>
    <t>財政</t>
  </si>
  <si>
    <t>賴惠員</t>
  </si>
  <si>
    <t>吳秉叡</t>
  </si>
  <si>
    <t>郭國文</t>
  </si>
  <si>
    <t>鍾佳濱</t>
  </si>
  <si>
    <t>王世堅</t>
  </si>
  <si>
    <t>李坤城</t>
  </si>
  <si>
    <t>賴士葆</t>
  </si>
  <si>
    <t>羅明才</t>
  </si>
  <si>
    <t>林德福</t>
  </si>
  <si>
    <t>顏寬恒</t>
  </si>
  <si>
    <t>陳玉珍</t>
  </si>
  <si>
    <t>李彥秀</t>
  </si>
  <si>
    <t>林思銘</t>
  </si>
  <si>
    <t>黃珊珊</t>
  </si>
  <si>
    <t>教育文化</t>
  </si>
  <si>
    <t>林宜瑾</t>
  </si>
  <si>
    <t>陳秀寳</t>
  </si>
  <si>
    <t>伍麗華</t>
  </si>
  <si>
    <t>吳沛憶</t>
  </si>
  <si>
    <t>范雲</t>
  </si>
  <si>
    <t>郭昱晴</t>
  </si>
  <si>
    <t>張雅琳</t>
  </si>
  <si>
    <t>葛如鈞</t>
  </si>
  <si>
    <t>萬美玲</t>
  </si>
  <si>
    <t>柯志恩</t>
  </si>
  <si>
    <t>羅廷瑋</t>
  </si>
  <si>
    <t>葉元之</t>
  </si>
  <si>
    <t>林沛祥</t>
  </si>
  <si>
    <t>謝龍介</t>
  </si>
  <si>
    <t>劉書彬</t>
  </si>
  <si>
    <t>交通</t>
  </si>
  <si>
    <t>許智傑</t>
  </si>
  <si>
    <t>李昆澤</t>
  </si>
  <si>
    <t>陳素月</t>
  </si>
  <si>
    <t>林俊憲</t>
  </si>
  <si>
    <t>蔡其昌</t>
  </si>
  <si>
    <t>何欣純</t>
  </si>
  <si>
    <t>徐富癸</t>
  </si>
  <si>
    <t>陳雪生</t>
  </si>
  <si>
    <t>魯明哲</t>
  </si>
  <si>
    <t>洪孟楷</t>
  </si>
  <si>
    <t>黃健豪</t>
  </si>
  <si>
    <t>廖先翔</t>
  </si>
  <si>
    <t>邱若華</t>
  </si>
  <si>
    <t>游顥</t>
  </si>
  <si>
    <t>林國成</t>
  </si>
  <si>
    <t>司法法制</t>
  </si>
  <si>
    <t>莊瑞雄</t>
  </si>
  <si>
    <t>柯建銘</t>
  </si>
  <si>
    <t>吳思瑤</t>
  </si>
  <si>
    <t>陳培瑜</t>
  </si>
  <si>
    <t>沈發惠</t>
  </si>
  <si>
    <t>王義川</t>
  </si>
  <si>
    <t>吳宗憲</t>
  </si>
  <si>
    <t>傅崐萁</t>
  </si>
  <si>
    <t>王鴻薇</t>
  </si>
  <si>
    <t>羅智強</t>
  </si>
  <si>
    <t>翁曉玲</t>
  </si>
  <si>
    <t>林倩綺</t>
  </si>
  <si>
    <t>黃國昌</t>
  </si>
  <si>
    <t>社福衛環</t>
  </si>
  <si>
    <t>劉建國</t>
  </si>
  <si>
    <t>楊曜</t>
  </si>
  <si>
    <t>陳瑩</t>
  </si>
  <si>
    <t>林淑芬</t>
  </si>
  <si>
    <t>黃秀芳</t>
  </si>
  <si>
    <t>王正旭</t>
  </si>
  <si>
    <t>林月琴</t>
  </si>
  <si>
    <t>蘇清泉</t>
  </si>
  <si>
    <t>王育敏</t>
  </si>
  <si>
    <t>廖偉翔</t>
  </si>
  <si>
    <t>陳菁徽</t>
  </si>
  <si>
    <t>盧縣一</t>
  </si>
  <si>
    <t>邱鎮軍</t>
  </si>
  <si>
    <t>涂權吉</t>
  </si>
  <si>
    <t>陳昭姿</t>
  </si>
  <si>
    <t>日期</t>
  </si>
  <si>
    <t>會議名稱</t>
  </si>
  <si>
    <t>主席</t>
  </si>
  <si>
    <t>人工</t>
  </si>
  <si>
    <t>次
數</t>
  </si>
  <si>
    <t>字
數</t>
  </si>
  <si>
    <t>次
 數</t>
  </si>
  <si>
    <t>字
 數</t>
  </si>
  <si>
    <t>陳菁徽</t>
    <phoneticPr fontId="23" type="noConversion"/>
  </si>
  <si>
    <t xml:space="preserve"> </t>
    <phoneticPr fontId="23" type="noConversion"/>
  </si>
  <si>
    <t>院長</t>
    <phoneticPr fontId="23" type="noConversion"/>
  </si>
  <si>
    <t>副院長</t>
    <phoneticPr fontId="23" type="noConversion"/>
  </si>
  <si>
    <t>呂玉玲</t>
    <phoneticPr fontId="23" type="noConversion"/>
  </si>
  <si>
    <t>鄭正鈐</t>
    <phoneticPr fontId="23" type="noConversion"/>
  </si>
  <si>
    <t>張嘉郡</t>
    <phoneticPr fontId="23" type="noConversion"/>
  </si>
  <si>
    <t>林德福</t>
    <phoneticPr fontId="23" type="noConversion"/>
  </si>
  <si>
    <t>顏寬恒</t>
    <phoneticPr fontId="23" type="noConversion"/>
  </si>
  <si>
    <t>立法院第11屆第4會期內政委員會第16次全體委員會</t>
  </si>
  <si>
    <t>114.12.17</t>
    <phoneticPr fontId="23" type="noConversion"/>
  </si>
  <si>
    <t>王美惠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</si>
</sst>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_);[Red]\(0\)"/>
    <numFmt numFmtId="178" formatCode="0_ "/>
  </numFmts>
  <fonts count="29">
    <font>
      <sz val="12"/>
      <color rgb="FF000000"/>
      <name val="Calibri"/>
      <scheme val="minor"/>
    </font>
    <font>
      <sz val="12"/>
      <color theme="1"/>
      <name val="PMingLiu"/>
      <family val="1"/>
      <charset val="136"/>
    </font>
    <font>
      <sz val="12"/>
      <name val="Calibri"/>
      <family val="2"/>
    </font>
    <font>
      <sz val="12"/>
      <color rgb="FF000000"/>
      <name val="PMingLiu"/>
      <family val="1"/>
      <charset val="136"/>
    </font>
    <font>
      <sz val="10"/>
      <color theme="1"/>
      <name val="PMingLiu"/>
      <family val="1"/>
      <charset val="136"/>
    </font>
    <font>
      <sz val="12"/>
      <color theme="1"/>
      <name val="Calibri"/>
      <family val="2"/>
    </font>
    <font>
      <sz val="10"/>
      <color rgb="FF000000"/>
      <name val="PMingLiu"/>
      <family val="1"/>
      <charset val="136"/>
    </font>
    <font>
      <b/>
      <sz val="12"/>
      <color theme="1"/>
      <name val="PMingLiu"/>
      <family val="1"/>
      <charset val="136"/>
    </font>
    <font>
      <sz val="12"/>
      <color rgb="FF980000"/>
      <name val="PMingLiu"/>
      <family val="1"/>
      <charset val="136"/>
    </font>
    <font>
      <sz val="12"/>
      <color rgb="FF000000"/>
      <name val="PMingLiu"/>
      <family val="1"/>
      <charset val="136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2"/>
      <color rgb="FFFF0000"/>
      <name val="PMingLiu"/>
      <family val="1"/>
      <charset val="136"/>
    </font>
    <font>
      <sz val="10"/>
      <color rgb="FF980000"/>
      <name val="PMingLiu"/>
      <family val="1"/>
      <charset val="136"/>
    </font>
    <font>
      <sz val="14"/>
      <color rgb="FF000000"/>
      <name val="DFKai-SB"/>
      <family val="4"/>
      <charset val="136"/>
    </font>
    <font>
      <sz val="14"/>
      <color theme="1"/>
      <name val="DFKai-SB"/>
      <family val="4"/>
      <charset val="136"/>
    </font>
    <font>
      <b/>
      <sz val="14"/>
      <color theme="1"/>
      <name val="DFKai-SB"/>
      <family val="4"/>
      <charset val="136"/>
    </font>
    <font>
      <sz val="12"/>
      <color rgb="FF000000"/>
      <name val="DFKai-SB"/>
      <family val="4"/>
      <charset val="136"/>
    </font>
    <font>
      <sz val="11"/>
      <color theme="1"/>
      <name val="PMingLiu"/>
      <family val="1"/>
      <charset val="136"/>
    </font>
    <font>
      <b/>
      <sz val="14"/>
      <color rgb="FF000000"/>
      <name val="DFKai-SB"/>
      <family val="4"/>
      <charset val="136"/>
    </font>
    <font>
      <sz val="12"/>
      <color theme="1"/>
      <name val="DFKai-SB"/>
      <family val="4"/>
      <charset val="136"/>
    </font>
    <font>
      <sz val="12"/>
      <color theme="1"/>
      <name val="DFKai-SB"/>
      <family val="4"/>
      <charset val="136"/>
    </font>
    <font>
      <sz val="9"/>
      <name val="Calibri"/>
      <family val="3"/>
      <charset val="136"/>
      <scheme val="minor"/>
    </font>
    <font>
      <sz val="12"/>
      <color theme="1"/>
      <name val="標楷體"/>
      <family val="4"/>
      <charset val="136"/>
    </font>
    <font>
      <sz val="14"/>
      <color rgb="FF000000"/>
      <name val="標楷體"/>
      <family val="4"/>
      <charset val="136"/>
    </font>
    <font>
      <sz val="12"/>
      <name val="PMingLiu"/>
      <family val="1"/>
      <charset val="136"/>
    </font>
    <font>
      <b/>
      <sz val="12"/>
      <name val="Calibri"/>
      <family val="2"/>
    </font>
    <font>
      <sz val="12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9CC2E5"/>
        <bgColor rgb="FF9CC2E5"/>
      </patternFill>
    </fill>
    <fill>
      <patternFill patternType="solid">
        <fgColor rgb="FF00B0F0"/>
        <bgColor rgb="FF00B0F0"/>
      </patternFill>
    </fill>
    <fill>
      <patternFill patternType="solid">
        <fgColor theme="6"/>
        <bgColor theme="6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C8C8C8"/>
        <bgColor rgb="FFC8C8C8"/>
      </patternFill>
    </fill>
    <fill>
      <patternFill patternType="solid">
        <fgColor rgb="FFD8D8D8"/>
        <bgColor rgb="FFD8D8D8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D8D8D8"/>
      </top>
      <bottom style="thin">
        <color rgb="FFD8D8D8"/>
      </bottom>
      <diagonal/>
    </border>
    <border>
      <left/>
      <right style="medium">
        <color rgb="FF000000"/>
      </right>
      <top style="thin">
        <color rgb="FFD8D8D8"/>
      </top>
      <bottom style="thin">
        <color rgb="FFD8D8D8"/>
      </bottom>
      <diagonal/>
    </border>
    <border>
      <left/>
      <right style="medium">
        <color rgb="FF000000"/>
      </right>
      <top/>
      <bottom style="thin">
        <color rgb="FFD8D8D8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 applyAlignment="1">
      <alignment vertical="center"/>
    </xf>
    <xf numFmtId="0" fontId="3" fillId="0" borderId="0" xfId="0" applyFont="1"/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4" fillId="0" borderId="4" xfId="0" applyNumberFormat="1" applyFont="1" applyBorder="1" applyAlignment="1">
      <alignment horizontal="center"/>
    </xf>
    <xf numFmtId="176" fontId="4" fillId="0" borderId="0" xfId="0" applyNumberFormat="1" applyFont="1" applyAlignment="1">
      <alignment horizontal="center"/>
    </xf>
    <xf numFmtId="0" fontId="4" fillId="0" borderId="10" xfId="0" applyFont="1" applyBorder="1" applyAlignment="1">
      <alignment horizontal="center"/>
    </xf>
    <xf numFmtId="0" fontId="1" fillId="0" borderId="0" xfId="0" applyFont="1"/>
    <xf numFmtId="2" fontId="1" fillId="6" borderId="14" xfId="0" applyNumberFormat="1" applyFont="1" applyFill="1" applyBorder="1"/>
    <xf numFmtId="2" fontId="1" fillId="6" borderId="15" xfId="0" applyNumberFormat="1" applyFont="1" applyFill="1" applyBorder="1"/>
    <xf numFmtId="2" fontId="8" fillId="0" borderId="0" xfId="0" applyNumberFormat="1" applyFont="1"/>
    <xf numFmtId="2" fontId="1" fillId="6" borderId="19" xfId="0" applyNumberFormat="1" applyFont="1" applyFill="1" applyBorder="1"/>
    <xf numFmtId="2" fontId="1" fillId="6" borderId="20" xfId="0" applyNumberFormat="1" applyFont="1" applyFill="1" applyBorder="1"/>
    <xf numFmtId="2" fontId="1" fillId="7" borderId="14" xfId="0" applyNumberFormat="1" applyFont="1" applyFill="1" applyBorder="1"/>
    <xf numFmtId="2" fontId="1" fillId="7" borderId="15" xfId="0" applyNumberFormat="1" applyFont="1" applyFill="1" applyBorder="1"/>
    <xf numFmtId="2" fontId="1" fillId="7" borderId="19" xfId="0" applyNumberFormat="1" applyFont="1" applyFill="1" applyBorder="1"/>
    <xf numFmtId="2" fontId="1" fillId="7" borderId="20" xfId="0" applyNumberFormat="1" applyFont="1" applyFill="1" applyBorder="1"/>
    <xf numFmtId="0" fontId="4" fillId="0" borderId="4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8" fillId="0" borderId="0" xfId="0" applyFont="1" applyAlignment="1">
      <alignment vertical="center"/>
    </xf>
    <xf numFmtId="0" fontId="9" fillId="0" borderId="2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25" xfId="0" applyFont="1" applyBorder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26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2" fontId="3" fillId="6" borderId="0" xfId="0" applyNumberFormat="1" applyFont="1" applyFill="1" applyAlignment="1">
      <alignment horizontal="right"/>
    </xf>
    <xf numFmtId="2" fontId="3" fillId="0" borderId="0" xfId="0" applyNumberFormat="1" applyFont="1"/>
    <xf numFmtId="2" fontId="3" fillId="6" borderId="27" xfId="0" applyNumberFormat="1" applyFont="1" applyFill="1" applyBorder="1" applyAlignment="1">
      <alignment horizontal="right"/>
    </xf>
    <xf numFmtId="2" fontId="3" fillId="7" borderId="0" xfId="0" applyNumberFormat="1" applyFont="1" applyFill="1" applyAlignment="1">
      <alignment horizontal="right"/>
    </xf>
    <xf numFmtId="2" fontId="3" fillId="7" borderId="27" xfId="0" applyNumberFormat="1" applyFont="1" applyFill="1" applyBorder="1" applyAlignment="1">
      <alignment horizontal="right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8" fillId="0" borderId="2" xfId="0" applyFont="1" applyBorder="1" applyAlignment="1">
      <alignment vertical="center"/>
    </xf>
    <xf numFmtId="0" fontId="1" fillId="0" borderId="8" xfId="0" applyFont="1" applyBorder="1"/>
    <xf numFmtId="0" fontId="1" fillId="0" borderId="0" xfId="0" applyFont="1" applyAlignment="1">
      <alignment vertical="center"/>
    </xf>
    <xf numFmtId="0" fontId="5" fillId="8" borderId="6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76" fontId="4" fillId="0" borderId="7" xfId="0" applyNumberFormat="1" applyFont="1" applyBorder="1" applyAlignment="1">
      <alignment horizontal="center"/>
    </xf>
    <xf numFmtId="176" fontId="4" fillId="0" borderId="8" xfId="0" applyNumberFormat="1" applyFont="1" applyBorder="1" applyAlignment="1">
      <alignment horizontal="center"/>
    </xf>
    <xf numFmtId="2" fontId="1" fillId="6" borderId="6" xfId="0" applyNumberFormat="1" applyFont="1" applyFill="1" applyBorder="1"/>
    <xf numFmtId="2" fontId="1" fillId="6" borderId="40" xfId="0" applyNumberFormat="1" applyFont="1" applyFill="1" applyBorder="1"/>
    <xf numFmtId="2" fontId="1" fillId="0" borderId="0" xfId="0" applyNumberFormat="1" applyFont="1"/>
    <xf numFmtId="2" fontId="1" fillId="7" borderId="6" xfId="0" applyNumberFormat="1" applyFont="1" applyFill="1" applyBorder="1"/>
    <xf numFmtId="2" fontId="1" fillId="7" borderId="40" xfId="0" applyNumberFormat="1" applyFont="1" applyFill="1" applyBorder="1"/>
    <xf numFmtId="0" fontId="8" fillId="0" borderId="0" xfId="0" applyFont="1"/>
    <xf numFmtId="2" fontId="1" fillId="6" borderId="15" xfId="0" applyNumberFormat="1" applyFont="1" applyFill="1" applyBorder="1" applyAlignment="1">
      <alignment horizontal="right"/>
    </xf>
    <xf numFmtId="2" fontId="1" fillId="7" borderId="19" xfId="0" applyNumberFormat="1" applyFont="1" applyFill="1" applyBorder="1" applyAlignment="1">
      <alignment vertical="center"/>
    </xf>
    <xf numFmtId="2" fontId="1" fillId="7" borderId="20" xfId="0" applyNumberFormat="1" applyFont="1" applyFill="1" applyBorder="1" applyAlignment="1">
      <alignment vertical="center"/>
    </xf>
    <xf numFmtId="0" fontId="4" fillId="0" borderId="41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1" fillId="0" borderId="42" xfId="0" applyFont="1" applyBorder="1"/>
    <xf numFmtId="0" fontId="8" fillId="0" borderId="42" xfId="0" applyFont="1" applyBorder="1"/>
    <xf numFmtId="0" fontId="1" fillId="0" borderId="5" xfId="0" applyFont="1" applyBorder="1"/>
    <xf numFmtId="0" fontId="3" fillId="0" borderId="0" xfId="0" applyFont="1" applyAlignment="1">
      <alignment vertical="center"/>
    </xf>
    <xf numFmtId="177" fontId="3" fillId="0" borderId="0" xfId="0" applyNumberFormat="1" applyFont="1" applyAlignment="1">
      <alignment wrapText="1"/>
    </xf>
    <xf numFmtId="0" fontId="1" fillId="2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78" fontId="1" fillId="0" borderId="0" xfId="0" applyNumberFormat="1" applyFont="1"/>
    <xf numFmtId="0" fontId="14" fillId="0" borderId="0" xfId="0" applyFont="1"/>
    <xf numFmtId="0" fontId="15" fillId="0" borderId="0" xfId="0" applyFont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8" fillId="0" borderId="0" xfId="0" applyFont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31" fontId="18" fillId="0" borderId="0" xfId="0" applyNumberFormat="1" applyFont="1" applyAlignment="1">
      <alignment horizontal="left" vertical="center"/>
    </xf>
    <xf numFmtId="0" fontId="15" fillId="0" borderId="24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31" fontId="18" fillId="0" borderId="0" xfId="0" applyNumberFormat="1" applyFont="1" applyAlignment="1">
      <alignment horizontal="left" vertical="top"/>
    </xf>
    <xf numFmtId="0" fontId="18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31" fontId="21" fillId="0" borderId="0" xfId="0" applyNumberFormat="1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31" fontId="21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31" fontId="21" fillId="0" borderId="0" xfId="0" applyNumberFormat="1" applyFont="1" applyAlignment="1">
      <alignment horizontal="left" vertical="top"/>
    </xf>
    <xf numFmtId="0" fontId="24" fillId="0" borderId="0" xfId="0" applyFont="1" applyAlignment="1">
      <alignment vertical="center"/>
    </xf>
    <xf numFmtId="0" fontId="25" fillId="0" borderId="54" xfId="0" applyFont="1" applyBorder="1" applyAlignment="1">
      <alignment horizontal="center" vertical="center"/>
    </xf>
    <xf numFmtId="0" fontId="15" fillId="0" borderId="54" xfId="0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0" fillId="0" borderId="53" xfId="0" applyBorder="1" applyAlignment="1">
      <alignment vertical="center"/>
    </xf>
    <xf numFmtId="0" fontId="19" fillId="0" borderId="53" xfId="0" applyFont="1" applyBorder="1" applyAlignment="1">
      <alignment horizontal="center" vertical="center"/>
    </xf>
    <xf numFmtId="0" fontId="10" fillId="0" borderId="53" xfId="0" applyFont="1" applyBorder="1" applyAlignment="1">
      <alignment vertical="center"/>
    </xf>
    <xf numFmtId="0" fontId="25" fillId="0" borderId="54" xfId="0" applyFont="1" applyBorder="1" applyAlignment="1">
      <alignment horizontal="center" vertical="center" shrinkToFit="1"/>
    </xf>
    <xf numFmtId="0" fontId="25" fillId="0" borderId="50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 vertical="center"/>
    </xf>
    <xf numFmtId="0" fontId="18" fillId="0" borderId="53" xfId="0" applyFont="1" applyBorder="1" applyAlignment="1">
      <alignment vertical="center"/>
    </xf>
    <xf numFmtId="176" fontId="3" fillId="0" borderId="24" xfId="0" applyNumberFormat="1" applyFont="1" applyBorder="1" applyAlignment="1">
      <alignment horizontal="center"/>
    </xf>
    <xf numFmtId="176" fontId="3" fillId="0" borderId="0" xfId="0" applyNumberFormat="1" applyFont="1" applyAlignment="1">
      <alignment horizontal="center"/>
    </xf>
    <xf numFmtId="176" fontId="3" fillId="0" borderId="27" xfId="0" applyNumberFormat="1" applyFont="1" applyBorder="1" applyAlignment="1">
      <alignment horizontal="center"/>
    </xf>
    <xf numFmtId="1" fontId="1" fillId="0" borderId="0" xfId="0" applyNumberFormat="1" applyFont="1"/>
    <xf numFmtId="1" fontId="3" fillId="0" borderId="26" xfId="0" applyNumberFormat="1" applyFont="1" applyBorder="1" applyAlignment="1">
      <alignment horizontal="center"/>
    </xf>
    <xf numFmtId="0" fontId="26" fillId="11" borderId="2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26" fillId="0" borderId="0" xfId="0" applyFont="1"/>
    <xf numFmtId="0" fontId="15" fillId="3" borderId="53" xfId="0" applyFont="1" applyFill="1" applyBorder="1" applyAlignment="1">
      <alignment horizontal="center" vertical="center"/>
    </xf>
    <xf numFmtId="0" fontId="2" fillId="0" borderId="52" xfId="0" applyFont="1" applyBorder="1" applyAlignment="1">
      <alignment vertical="center"/>
    </xf>
    <xf numFmtId="0" fontId="15" fillId="3" borderId="37" xfId="0" applyFont="1" applyFill="1" applyBorder="1" applyAlignment="1">
      <alignment horizontal="center" vertical="center"/>
    </xf>
    <xf numFmtId="0" fontId="2" fillId="0" borderId="39" xfId="0" applyFont="1" applyBorder="1" applyAlignment="1">
      <alignment vertical="center"/>
    </xf>
    <xf numFmtId="0" fontId="15" fillId="4" borderId="37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15" fillId="0" borderId="41" xfId="0" applyFont="1" applyBorder="1" applyAlignment="1">
      <alignment horizontal="center"/>
    </xf>
    <xf numFmtId="0" fontId="2" fillId="0" borderId="5" xfId="0" applyFont="1" applyBorder="1" applyAlignment="1">
      <alignment vertical="center"/>
    </xf>
    <xf numFmtId="0" fontId="15" fillId="2" borderId="37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5" fillId="0" borderId="0" xfId="0" applyFont="1" applyAlignment="1">
      <alignment vertical="center" wrapText="1"/>
    </xf>
    <xf numFmtId="0" fontId="20" fillId="0" borderId="4" xfId="0" applyFont="1" applyBorder="1" applyAlignment="1">
      <alignment horizontal="center" vertical="center"/>
    </xf>
    <xf numFmtId="0" fontId="27" fillId="0" borderId="10" xfId="0" applyFont="1" applyBorder="1" applyAlignment="1">
      <alignment vertical="center"/>
    </xf>
    <xf numFmtId="0" fontId="4" fillId="6" borderId="16" xfId="0" applyFont="1" applyFill="1" applyBorder="1" applyAlignment="1">
      <alignment horizont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4" fillId="7" borderId="11" xfId="0" applyFont="1" applyFill="1" applyBorder="1" applyAlignment="1">
      <alignment horizont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4" fillId="7" borderId="16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4" fillId="6" borderId="11" xfId="0" applyFont="1" applyFill="1" applyBorder="1" applyAlignment="1">
      <alignment horizontal="center"/>
    </xf>
    <xf numFmtId="0" fontId="4" fillId="7" borderId="16" xfId="0" applyFont="1" applyFill="1" applyBorder="1" applyAlignment="1">
      <alignment horizontal="center" wrapText="1"/>
    </xf>
    <xf numFmtId="0" fontId="4" fillId="6" borderId="37" xfId="0" applyFont="1" applyFill="1" applyBorder="1" applyAlignment="1">
      <alignment horizontal="center"/>
    </xf>
    <xf numFmtId="0" fontId="2" fillId="0" borderId="38" xfId="0" applyFont="1" applyBorder="1" applyAlignment="1">
      <alignment vertical="center"/>
    </xf>
    <xf numFmtId="0" fontId="4" fillId="7" borderId="37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9" fillId="6" borderId="29" xfId="0" applyFont="1" applyFill="1" applyBorder="1" applyAlignment="1">
      <alignment horizontal="center"/>
    </xf>
    <xf numFmtId="0" fontId="2" fillId="0" borderId="30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9" fillId="6" borderId="32" xfId="0" applyFont="1" applyFill="1" applyBorder="1" applyAlignment="1">
      <alignment horizontal="center"/>
    </xf>
    <xf numFmtId="0" fontId="2" fillId="0" borderId="8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9" fillId="7" borderId="34" xfId="0" applyFont="1" applyFill="1" applyBorder="1" applyAlignment="1">
      <alignment horizontal="center"/>
    </xf>
    <xf numFmtId="0" fontId="2" fillId="0" borderId="3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9" fillId="7" borderId="32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16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vertical="center"/>
    </xf>
    <xf numFmtId="0" fontId="15" fillId="0" borderId="10" xfId="0" applyFont="1" applyBorder="1" applyAlignment="1">
      <alignment horizontal="center" vertical="center" wrapText="1"/>
    </xf>
    <xf numFmtId="0" fontId="2" fillId="0" borderId="45" xfId="0" applyFont="1" applyBorder="1" applyAlignment="1">
      <alignment vertical="center"/>
    </xf>
    <xf numFmtId="0" fontId="15" fillId="0" borderId="42" xfId="0" applyFont="1" applyBorder="1" applyAlignment="1">
      <alignment horizontal="center"/>
    </xf>
    <xf numFmtId="0" fontId="16" fillId="2" borderId="43" xfId="0" applyFont="1" applyFill="1" applyBorder="1" applyAlignment="1">
      <alignment horizontal="center" vertical="center"/>
    </xf>
    <xf numFmtId="0" fontId="16" fillId="4" borderId="43" xfId="0" applyFont="1" applyFill="1" applyBorder="1" applyAlignment="1">
      <alignment horizontal="center" vertical="center"/>
    </xf>
    <xf numFmtId="0" fontId="16" fillId="9" borderId="43" xfId="0" applyFont="1" applyFill="1" applyBorder="1" applyAlignment="1">
      <alignment horizontal="center" vertical="center"/>
    </xf>
    <xf numFmtId="0" fontId="16" fillId="3" borderId="43" xfId="0" applyFont="1" applyFill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27" fillId="0" borderId="44" xfId="0" applyFont="1" applyBorder="1" applyAlignment="1">
      <alignment vertical="center"/>
    </xf>
    <xf numFmtId="0" fontId="15" fillId="0" borderId="48" xfId="0" applyFont="1" applyBorder="1" applyAlignment="1">
      <alignment horizontal="center"/>
    </xf>
    <xf numFmtId="0" fontId="2" fillId="0" borderId="47" xfId="0" applyFont="1" applyBorder="1" applyAlignment="1">
      <alignment vertical="center"/>
    </xf>
    <xf numFmtId="0" fontId="15" fillId="0" borderId="24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5" fillId="0" borderId="46" xfId="0" applyFont="1" applyBorder="1" applyAlignment="1">
      <alignment horizontal="center"/>
    </xf>
    <xf numFmtId="0" fontId="15" fillId="2" borderId="29" xfId="0" applyFont="1" applyFill="1" applyBorder="1" applyAlignment="1">
      <alignment horizontal="center" vertical="center"/>
    </xf>
    <xf numFmtId="0" fontId="2" fillId="0" borderId="49" xfId="0" applyFont="1" applyBorder="1" applyAlignment="1">
      <alignment vertical="center"/>
    </xf>
    <xf numFmtId="0" fontId="15" fillId="2" borderId="3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4" borderId="30" xfId="0" applyFont="1" applyFill="1" applyBorder="1" applyAlignment="1">
      <alignment horizontal="center" vertical="center"/>
    </xf>
    <xf numFmtId="0" fontId="15" fillId="3" borderId="30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15" fillId="10" borderId="37" xfId="0" applyFont="1" applyFill="1" applyBorder="1" applyAlignment="1">
      <alignment horizontal="center" vertical="center"/>
    </xf>
    <xf numFmtId="0" fontId="15" fillId="2" borderId="53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6" fillId="0" borderId="4" xfId="0" applyFont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%20&#20839;&#25919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%20&#21496;&#27861;&#27861;&#21046;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%20&#36001;&#25919;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0132;&#36890;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1038;&#31119;&#34907;&#29872;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5945;&#32946;&#25991;&#21270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2147;&#28639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內政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司法法制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財政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交通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社福衛環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教育文化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經濟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15" workbookViewId="0">
      <selection activeCell="D73" sqref="D73"/>
    </sheetView>
  </sheetViews>
  <sheetFormatPr baseColWidth="10" defaultColWidth="11.1640625" defaultRowHeight="15" customHeight="1"/>
  <cols>
    <col min="1" max="1" width="5.83203125" customWidth="1"/>
    <col min="2" max="2" width="7.5" customWidth="1"/>
    <col min="3" max="3" width="5" customWidth="1"/>
    <col min="4" max="4" width="8.83203125" customWidth="1"/>
    <col min="5" max="5" width="7.83203125" customWidth="1"/>
    <col min="6" max="6" width="8.33203125" customWidth="1"/>
    <col min="7" max="7" width="7.5" customWidth="1"/>
    <col min="8" max="8" width="8.83203125" customWidth="1"/>
    <col min="9" max="9" width="8.5" customWidth="1"/>
    <col min="10" max="10" width="9" customWidth="1"/>
    <col min="11" max="11" width="8.1640625" customWidth="1"/>
    <col min="12" max="12" width="9.6640625" customWidth="1"/>
    <col min="13" max="13" width="8.6640625" customWidth="1"/>
    <col min="14" max="14" width="8.1640625" customWidth="1"/>
    <col min="15" max="15" width="8.5" customWidth="1"/>
    <col min="16" max="16" width="7.83203125" customWidth="1"/>
    <col min="17" max="17" width="8.83203125" customWidth="1"/>
    <col min="18" max="18" width="8" customWidth="1"/>
    <col min="19" max="20" width="2.6640625" customWidth="1"/>
    <col min="21" max="26" width="4.5" customWidth="1"/>
  </cols>
  <sheetData>
    <row r="1" spans="1:26" ht="15.75" customHeight="1">
      <c r="A1" s="164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5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2"/>
      <c r="B2" s="3"/>
      <c r="C2" s="4" t="s">
        <v>1</v>
      </c>
      <c r="D2" s="5" t="s">
        <v>2</v>
      </c>
      <c r="E2" s="5" t="s">
        <v>2</v>
      </c>
      <c r="F2" s="5" t="s">
        <v>2</v>
      </c>
      <c r="G2" s="5" t="s">
        <v>2</v>
      </c>
      <c r="H2" s="5" t="s">
        <v>2</v>
      </c>
      <c r="I2" s="5" t="s">
        <v>2</v>
      </c>
      <c r="J2" s="6" t="s">
        <v>3</v>
      </c>
      <c r="K2" s="6" t="s">
        <v>3</v>
      </c>
      <c r="L2" s="6" t="s">
        <v>3</v>
      </c>
      <c r="M2" s="6" t="s">
        <v>3</v>
      </c>
      <c r="N2" s="6" t="s">
        <v>3</v>
      </c>
      <c r="O2" s="6" t="s">
        <v>3</v>
      </c>
      <c r="P2" s="7" t="s">
        <v>4</v>
      </c>
      <c r="Q2" s="8" t="s">
        <v>5</v>
      </c>
      <c r="R2" s="9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0" t="s">
        <v>6</v>
      </c>
      <c r="B3" s="11" t="s">
        <v>7</v>
      </c>
      <c r="C3" s="12" t="s">
        <v>8</v>
      </c>
      <c r="D3" s="14" t="s">
        <v>9</v>
      </c>
      <c r="E3" s="14" t="s">
        <v>10</v>
      </c>
      <c r="F3" s="13" t="s">
        <v>11</v>
      </c>
      <c r="G3" s="14" t="s">
        <v>12</v>
      </c>
      <c r="H3" s="14" t="s">
        <v>13</v>
      </c>
      <c r="I3" s="14" t="s">
        <v>14</v>
      </c>
      <c r="J3" s="14" t="s">
        <v>15</v>
      </c>
      <c r="K3" s="14" t="s">
        <v>16</v>
      </c>
      <c r="L3" s="13" t="s">
        <v>17</v>
      </c>
      <c r="M3" s="14" t="s">
        <v>18</v>
      </c>
      <c r="N3" s="14" t="s">
        <v>19</v>
      </c>
      <c r="O3" s="14" t="s">
        <v>20</v>
      </c>
      <c r="P3" s="14" t="s">
        <v>21</v>
      </c>
      <c r="Q3" s="14" t="s">
        <v>22</v>
      </c>
      <c r="R3" s="3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5">
        <f t="shared" ref="A4:A5" si="0">AVERAGE(D4:Q4)</f>
        <v>5.7142857142857144</v>
      </c>
      <c r="B4" s="16">
        <f>AVERAGE(E4,F4:I4,K4:Q4)</f>
        <v>5.833333333333333</v>
      </c>
      <c r="C4" s="17" t="s">
        <v>23</v>
      </c>
      <c r="D4" s="18">
        <f>' 內政'!D26</f>
        <v>10</v>
      </c>
      <c r="E4" s="18">
        <f>' 內政'!F26</f>
        <v>1</v>
      </c>
      <c r="F4" s="116">
        <f>' 內政'!H26</f>
        <v>40</v>
      </c>
      <c r="G4" s="116">
        <f>' 內政'!J26</f>
        <v>4</v>
      </c>
      <c r="H4" s="18">
        <f>' 內政'!L26</f>
        <v>3</v>
      </c>
      <c r="I4" s="18">
        <f>' 內政'!N26</f>
        <v>5</v>
      </c>
      <c r="J4" s="18">
        <f>' 內政'!P26</f>
        <v>0</v>
      </c>
      <c r="K4" s="18">
        <f>' 內政'!R26</f>
        <v>0</v>
      </c>
      <c r="L4" s="18">
        <f>' 內政'!T26</f>
        <v>0</v>
      </c>
      <c r="M4" s="18">
        <f>' 內政'!V26</f>
        <v>1</v>
      </c>
      <c r="N4" s="18">
        <f>' 內政'!X26</f>
        <v>4</v>
      </c>
      <c r="O4" s="18">
        <f>' 內政'!Z26</f>
        <v>0</v>
      </c>
      <c r="P4" s="18">
        <f>' 內政'!AB26</f>
        <v>12</v>
      </c>
      <c r="Q4" s="18">
        <f>' 內政'!AD26</f>
        <v>0</v>
      </c>
      <c r="R4" s="9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5">
        <f t="shared" si="0"/>
        <v>474.85714285714283</v>
      </c>
      <c r="B5" s="16">
        <f>AVERAGE(E5,F5:I5,K5:Q5)</f>
        <v>496.58333333333331</v>
      </c>
      <c r="C5" s="12" t="s">
        <v>24</v>
      </c>
      <c r="D5" s="18">
        <f>' 內政'!E26</f>
        <v>689</v>
      </c>
      <c r="E5" s="18">
        <f>' 內政'!G26</f>
        <v>231</v>
      </c>
      <c r="F5" s="116">
        <f>' 內政'!I26</f>
        <v>1151</v>
      </c>
      <c r="G5" s="116">
        <f>' 內政'!K26</f>
        <v>795</v>
      </c>
      <c r="H5" s="18">
        <f>' 內政'!M26</f>
        <v>588</v>
      </c>
      <c r="I5" s="18">
        <f>' 內政'!O26</f>
        <v>718</v>
      </c>
      <c r="J5" s="18">
        <f>' 內政'!Q26</f>
        <v>0</v>
      </c>
      <c r="K5" s="18">
        <f>' 內政'!S26</f>
        <v>0</v>
      </c>
      <c r="L5" s="18">
        <f>' 內政'!U26</f>
        <v>0</v>
      </c>
      <c r="M5" s="18">
        <f>' 內政'!W26</f>
        <v>278</v>
      </c>
      <c r="N5" s="18">
        <f>' 內政'!Y26</f>
        <v>577</v>
      </c>
      <c r="O5" s="18">
        <f>' 內政'!AA26</f>
        <v>0</v>
      </c>
      <c r="P5" s="18">
        <f>' 內政'!AC26</f>
        <v>1621</v>
      </c>
      <c r="Q5" s="18">
        <f>' 內政'!AE26</f>
        <v>0</v>
      </c>
      <c r="R5" s="9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46" t="s">
        <v>25</v>
      </c>
      <c r="B6" s="140"/>
      <c r="C6" s="141"/>
      <c r="D6" s="19">
        <f t="shared" ref="D6:Q6" si="1">IF(SQRT((D4/$A4)^2+(D5/$A5)^2)&gt;2,5,5*SQRT((D4/$A4)^2+(D5/$A5)^2)/2)</f>
        <v>5</v>
      </c>
      <c r="E6" s="19">
        <f t="shared" si="1"/>
        <v>1.2924549527096563</v>
      </c>
      <c r="F6" s="19">
        <f t="shared" si="1"/>
        <v>5</v>
      </c>
      <c r="G6" s="19">
        <f t="shared" si="1"/>
        <v>4.5365905015882211</v>
      </c>
      <c r="H6" s="19">
        <f t="shared" si="1"/>
        <v>3.3624122013182518</v>
      </c>
      <c r="I6" s="19">
        <f t="shared" si="1"/>
        <v>4.3674011815037526</v>
      </c>
      <c r="J6" s="19">
        <f t="shared" si="1"/>
        <v>0</v>
      </c>
      <c r="K6" s="19">
        <f t="shared" si="1"/>
        <v>0</v>
      </c>
      <c r="L6" s="19">
        <f t="shared" si="1"/>
        <v>0</v>
      </c>
      <c r="M6" s="19">
        <f t="shared" si="1"/>
        <v>1.5275881558845938</v>
      </c>
      <c r="N6" s="19">
        <f t="shared" si="1"/>
        <v>3.5057752053033746</v>
      </c>
      <c r="O6" s="19">
        <f t="shared" si="1"/>
        <v>0</v>
      </c>
      <c r="P6" s="19">
        <f t="shared" si="1"/>
        <v>5</v>
      </c>
      <c r="Q6" s="20">
        <f t="shared" si="1"/>
        <v>0</v>
      </c>
      <c r="R6" s="21"/>
      <c r="S6" s="18"/>
      <c r="T6" s="18"/>
      <c r="U6" s="1"/>
      <c r="V6" s="1"/>
      <c r="W6" s="1"/>
      <c r="X6" s="1"/>
      <c r="Y6" s="1"/>
      <c r="Z6" s="1"/>
    </row>
    <row r="7" spans="1:26" ht="15.75" customHeight="1">
      <c r="A7" s="136" t="s">
        <v>26</v>
      </c>
      <c r="B7" s="137"/>
      <c r="C7" s="138"/>
      <c r="D7" s="22">
        <f t="shared" ref="D7:Q7" si="2">IF(SQRT((D4/$B4)^2+(D5/$B5)^2)&gt;2,5,5*SQRT((D4/$B4)^2+(D5/$B5)^2)/2)</f>
        <v>5</v>
      </c>
      <c r="E7" s="22">
        <f t="shared" si="2"/>
        <v>1.239402572353284</v>
      </c>
      <c r="F7" s="22">
        <f t="shared" si="2"/>
        <v>5</v>
      </c>
      <c r="G7" s="22">
        <f t="shared" si="2"/>
        <v>4.3540298723911608</v>
      </c>
      <c r="H7" s="22">
        <f t="shared" si="2"/>
        <v>3.2273847579355515</v>
      </c>
      <c r="I7" s="22">
        <f t="shared" si="2"/>
        <v>4.2021299480510415</v>
      </c>
      <c r="J7" s="22">
        <f t="shared" si="2"/>
        <v>0</v>
      </c>
      <c r="K7" s="22">
        <f t="shared" si="2"/>
        <v>0</v>
      </c>
      <c r="L7" s="22">
        <f t="shared" si="2"/>
        <v>0</v>
      </c>
      <c r="M7" s="22">
        <f t="shared" si="2"/>
        <v>1.4637117128274244</v>
      </c>
      <c r="N7" s="22">
        <f t="shared" si="2"/>
        <v>3.3729701913175636</v>
      </c>
      <c r="O7" s="22">
        <f t="shared" si="2"/>
        <v>0</v>
      </c>
      <c r="P7" s="22">
        <f t="shared" si="2"/>
        <v>5</v>
      </c>
      <c r="Q7" s="23">
        <f t="shared" si="2"/>
        <v>0</v>
      </c>
      <c r="R7" s="21"/>
      <c r="S7" s="18"/>
      <c r="T7" s="18"/>
      <c r="U7" s="1"/>
      <c r="V7" s="1"/>
      <c r="W7" s="1"/>
      <c r="X7" s="1"/>
      <c r="Y7" s="1"/>
      <c r="Z7" s="1"/>
    </row>
    <row r="8" spans="1:26" ht="15.75" customHeight="1">
      <c r="A8" s="139" t="s">
        <v>27</v>
      </c>
      <c r="B8" s="140"/>
      <c r="C8" s="141"/>
      <c r="D8" s="24">
        <f t="shared" ref="D8:Q8" si="3">IF(SQRT((D4/$A4)^2+(D5/$A5)^2)&gt;2,3,3*SQRT((D4/$A4)^2+(D5/$A5)^2)/2)</f>
        <v>3</v>
      </c>
      <c r="E8" s="24">
        <f t="shared" si="3"/>
        <v>0.77547297162579376</v>
      </c>
      <c r="F8" s="24">
        <f t="shared" si="3"/>
        <v>3</v>
      </c>
      <c r="G8" s="24">
        <f t="shared" si="3"/>
        <v>2.721954300952933</v>
      </c>
      <c r="H8" s="24">
        <f t="shared" si="3"/>
        <v>2.0174473207909509</v>
      </c>
      <c r="I8" s="24">
        <f t="shared" si="3"/>
        <v>2.6204407089022519</v>
      </c>
      <c r="J8" s="24">
        <f t="shared" si="3"/>
        <v>0</v>
      </c>
      <c r="K8" s="24">
        <f t="shared" si="3"/>
        <v>0</v>
      </c>
      <c r="L8" s="24">
        <f t="shared" si="3"/>
        <v>0</v>
      </c>
      <c r="M8" s="24">
        <f t="shared" si="3"/>
        <v>0.91655289353075631</v>
      </c>
      <c r="N8" s="24">
        <f t="shared" si="3"/>
        <v>2.1034651231820249</v>
      </c>
      <c r="O8" s="24">
        <f t="shared" si="3"/>
        <v>0</v>
      </c>
      <c r="P8" s="24">
        <f t="shared" si="3"/>
        <v>3</v>
      </c>
      <c r="Q8" s="25">
        <f t="shared" si="3"/>
        <v>0</v>
      </c>
      <c r="R8" s="21"/>
      <c r="S8" s="18"/>
      <c r="T8" s="18"/>
      <c r="U8" s="1"/>
      <c r="V8" s="1"/>
      <c r="W8" s="1"/>
      <c r="X8" s="1"/>
      <c r="Y8" s="1"/>
      <c r="Z8" s="1"/>
    </row>
    <row r="9" spans="1:26" ht="16.5" customHeight="1">
      <c r="A9" s="142" t="s">
        <v>28</v>
      </c>
      <c r="B9" s="137"/>
      <c r="C9" s="138"/>
      <c r="D9" s="26">
        <f t="shared" ref="D9:Q9" si="4">IF(SQRT((D4/$B4)^2+(D5/$B5)^2)&gt;2,3,3*SQRT((D4/$B4)^2+(D5/$B5)^2)/2)</f>
        <v>3</v>
      </c>
      <c r="E9" s="26">
        <f t="shared" si="4"/>
        <v>0.74364154341197042</v>
      </c>
      <c r="F9" s="26">
        <f t="shared" si="4"/>
        <v>3</v>
      </c>
      <c r="G9" s="26">
        <f t="shared" si="4"/>
        <v>2.6124179234346965</v>
      </c>
      <c r="H9" s="26">
        <f t="shared" si="4"/>
        <v>1.9364308547613307</v>
      </c>
      <c r="I9" s="26">
        <f t="shared" si="4"/>
        <v>2.5212779688306246</v>
      </c>
      <c r="J9" s="26">
        <f t="shared" si="4"/>
        <v>0</v>
      </c>
      <c r="K9" s="26">
        <f t="shared" si="4"/>
        <v>0</v>
      </c>
      <c r="L9" s="26">
        <f t="shared" si="4"/>
        <v>0</v>
      </c>
      <c r="M9" s="26">
        <f t="shared" si="4"/>
        <v>0.87822702769645455</v>
      </c>
      <c r="N9" s="26">
        <f t="shared" si="4"/>
        <v>2.0237821147905382</v>
      </c>
      <c r="O9" s="26">
        <f t="shared" si="4"/>
        <v>0</v>
      </c>
      <c r="P9" s="26">
        <f t="shared" si="4"/>
        <v>3</v>
      </c>
      <c r="Q9" s="27">
        <f t="shared" si="4"/>
        <v>0</v>
      </c>
      <c r="R9" s="18"/>
      <c r="S9" s="18"/>
      <c r="T9" s="18"/>
      <c r="U9" s="1"/>
      <c r="V9" s="1"/>
      <c r="W9" s="1"/>
      <c r="X9" s="1"/>
      <c r="Y9" s="1"/>
      <c r="Z9" s="1"/>
    </row>
    <row r="10" spans="1:26" ht="18" customHeight="1">
      <c r="A10" s="28"/>
      <c r="B10" s="29"/>
      <c r="C10" s="29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18"/>
      <c r="S10" s="18"/>
      <c r="T10" s="18"/>
      <c r="U10" s="1"/>
      <c r="V10" s="1"/>
      <c r="W10" s="1"/>
      <c r="X10" s="1"/>
      <c r="Y10" s="1"/>
      <c r="Z10" s="1"/>
    </row>
    <row r="11" spans="1:26" ht="15.75" customHeight="1">
      <c r="A11" s="151" t="s">
        <v>29</v>
      </c>
      <c r="B11" s="152"/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3"/>
      <c r="R11" s="1"/>
      <c r="S11" s="18"/>
      <c r="T11" s="18"/>
      <c r="U11" s="1"/>
      <c r="V11" s="1"/>
      <c r="W11" s="1"/>
      <c r="X11" s="1"/>
      <c r="Y11" s="1"/>
      <c r="Z11" s="1"/>
    </row>
    <row r="12" spans="1:26" ht="15.75" customHeight="1">
      <c r="A12" s="31"/>
      <c r="B12" s="32"/>
      <c r="C12" s="33" t="s">
        <v>1</v>
      </c>
      <c r="D12" s="34" t="s">
        <v>2</v>
      </c>
      <c r="E12" s="34" t="s">
        <v>2</v>
      </c>
      <c r="F12" s="34" t="s">
        <v>2</v>
      </c>
      <c r="G12" s="34" t="s">
        <v>2</v>
      </c>
      <c r="H12" s="34" t="s">
        <v>2</v>
      </c>
      <c r="I12" s="34" t="s">
        <v>2</v>
      </c>
      <c r="J12" s="35" t="s">
        <v>3</v>
      </c>
      <c r="K12" s="35" t="s">
        <v>3</v>
      </c>
      <c r="L12" s="35" t="s">
        <v>3</v>
      </c>
      <c r="M12" s="35" t="s">
        <v>3</v>
      </c>
      <c r="N12" s="35" t="s">
        <v>3</v>
      </c>
      <c r="O12" s="35" t="s">
        <v>3</v>
      </c>
      <c r="P12" s="36" t="s">
        <v>4</v>
      </c>
      <c r="Q12" s="37"/>
      <c r="R12" s="1"/>
      <c r="S12" s="18"/>
      <c r="T12" s="18"/>
      <c r="U12" s="1"/>
      <c r="V12" s="1"/>
      <c r="W12" s="1"/>
      <c r="X12" s="1"/>
      <c r="Y12" s="1"/>
      <c r="Z12" s="1"/>
    </row>
    <row r="13" spans="1:26" ht="15.75" customHeight="1">
      <c r="A13" s="38" t="s">
        <v>6</v>
      </c>
      <c r="B13" s="39" t="s">
        <v>7</v>
      </c>
      <c r="C13" s="40" t="s">
        <v>8</v>
      </c>
      <c r="D13" s="42" t="s">
        <v>30</v>
      </c>
      <c r="E13" s="41" t="s">
        <v>31</v>
      </c>
      <c r="F13" s="42" t="s">
        <v>32</v>
      </c>
      <c r="G13" s="42" t="s">
        <v>33</v>
      </c>
      <c r="H13" s="42" t="s">
        <v>34</v>
      </c>
      <c r="I13" s="42" t="s">
        <v>35</v>
      </c>
      <c r="J13" s="42" t="s">
        <v>36</v>
      </c>
      <c r="K13" s="42" t="s">
        <v>37</v>
      </c>
      <c r="L13" s="42" t="s">
        <v>38</v>
      </c>
      <c r="M13" s="41" t="s">
        <v>39</v>
      </c>
      <c r="N13" s="42" t="s">
        <v>40</v>
      </c>
      <c r="O13" s="42" t="s">
        <v>41</v>
      </c>
      <c r="P13" s="42" t="s">
        <v>42</v>
      </c>
      <c r="Q13" s="37"/>
      <c r="R13" s="1"/>
      <c r="S13" s="18"/>
      <c r="T13" s="18"/>
      <c r="U13" s="1"/>
      <c r="V13" s="1"/>
      <c r="W13" s="1"/>
      <c r="X13" s="1"/>
      <c r="Y13" s="1"/>
      <c r="Z13" s="1"/>
    </row>
    <row r="14" spans="1:26" ht="15.75" customHeight="1">
      <c r="A14" s="113">
        <f>AVERAGE(D14:P14)</f>
        <v>0</v>
      </c>
      <c r="B14" s="114">
        <f>AVERAGE(E14:G14,H14:I14,M14:P14)</f>
        <v>0</v>
      </c>
      <c r="C14" s="33" t="s">
        <v>23</v>
      </c>
      <c r="D14" s="43">
        <f>外交國防!D14</f>
        <v>0</v>
      </c>
      <c r="E14" s="43">
        <f>外交國防!F14</f>
        <v>0</v>
      </c>
      <c r="F14" s="43">
        <f>外交國防!H14</f>
        <v>0</v>
      </c>
      <c r="G14" s="43">
        <f>外交國防!J14</f>
        <v>0</v>
      </c>
      <c r="H14" s="43">
        <f>外交國防!L14</f>
        <v>0</v>
      </c>
      <c r="I14" s="43">
        <f>外交國防!N14</f>
        <v>0</v>
      </c>
      <c r="J14" s="43">
        <f>外交國防!P14</f>
        <v>0</v>
      </c>
      <c r="K14" s="43">
        <f>外交國防!R14</f>
        <v>0</v>
      </c>
      <c r="L14" s="43">
        <f>外交國防!T14</f>
        <v>0</v>
      </c>
      <c r="M14" s="43">
        <f>外交國防!V14</f>
        <v>0</v>
      </c>
      <c r="N14" s="43">
        <f>外交國防!X14</f>
        <v>0</v>
      </c>
      <c r="O14" s="43">
        <f>外交國防!Z14</f>
        <v>0</v>
      </c>
      <c r="P14" s="43">
        <f>外交國防!AB14</f>
        <v>0</v>
      </c>
      <c r="Q14" s="1"/>
      <c r="R14" s="1"/>
      <c r="S14" s="18"/>
      <c r="T14" s="18"/>
      <c r="U14" s="1"/>
      <c r="V14" s="1"/>
      <c r="W14" s="1"/>
      <c r="X14" s="1"/>
      <c r="Y14" s="1"/>
      <c r="Z14" s="1"/>
    </row>
    <row r="15" spans="1:26" ht="15.75" customHeight="1">
      <c r="A15" s="117">
        <f>AVERAGE(D15:P15)</f>
        <v>0</v>
      </c>
      <c r="B15" s="115">
        <f>AVERAGE(E15:G15,H15:I15,M15:P15)</f>
        <v>0</v>
      </c>
      <c r="C15" s="40" t="s">
        <v>24</v>
      </c>
      <c r="D15" s="43">
        <f>外交國防!E14</f>
        <v>0</v>
      </c>
      <c r="E15" s="43">
        <f>外交國防!G14</f>
        <v>0</v>
      </c>
      <c r="F15" s="43">
        <f>外交國防!I14</f>
        <v>0</v>
      </c>
      <c r="G15" s="43">
        <f>外交國防!K14</f>
        <v>0</v>
      </c>
      <c r="H15" s="43">
        <f>外交國防!M14</f>
        <v>0</v>
      </c>
      <c r="I15" s="43">
        <f>外交國防!O14</f>
        <v>0</v>
      </c>
      <c r="J15" s="43">
        <f>外交國防!Q14</f>
        <v>0</v>
      </c>
      <c r="K15" s="43">
        <f>外交國防!S14</f>
        <v>0</v>
      </c>
      <c r="L15" s="43">
        <f>外交國防!U14</f>
        <v>0</v>
      </c>
      <c r="M15" s="43">
        <f>外交國防!W14</f>
        <v>0</v>
      </c>
      <c r="N15" s="43">
        <f>外交國防!Y14</f>
        <v>0</v>
      </c>
      <c r="O15" s="43">
        <f>外交國防!AA14</f>
        <v>0</v>
      </c>
      <c r="P15" s="43">
        <f>外交國防!AC14</f>
        <v>0</v>
      </c>
      <c r="Q15" s="1"/>
      <c r="R15" s="1"/>
      <c r="S15" s="18"/>
      <c r="T15" s="18"/>
      <c r="U15" s="1"/>
      <c r="V15" s="1"/>
      <c r="W15" s="1"/>
      <c r="X15" s="1"/>
      <c r="Y15" s="1"/>
      <c r="Z15" s="1"/>
    </row>
    <row r="16" spans="1:26" ht="15.75" customHeight="1">
      <c r="A16" s="154" t="s">
        <v>25</v>
      </c>
      <c r="B16" s="155"/>
      <c r="C16" s="156"/>
      <c r="D16" s="44" t="e">
        <f t="shared" ref="D16:P16" si="5">IF(SQRT((D14/$A14)^2+(D15/$A15)^2)&gt;2,5,5*SQRT((D14/$A14)^2+(D15/$A15)^2)/2)</f>
        <v>#DIV/0!</v>
      </c>
      <c r="E16" s="44" t="e">
        <f t="shared" si="5"/>
        <v>#DIV/0!</v>
      </c>
      <c r="F16" s="44" t="e">
        <f t="shared" si="5"/>
        <v>#DIV/0!</v>
      </c>
      <c r="G16" s="44" t="e">
        <f t="shared" si="5"/>
        <v>#DIV/0!</v>
      </c>
      <c r="H16" s="44" t="e">
        <f t="shared" si="5"/>
        <v>#DIV/0!</v>
      </c>
      <c r="I16" s="44" t="e">
        <f t="shared" si="5"/>
        <v>#DIV/0!</v>
      </c>
      <c r="J16" s="44" t="e">
        <f>IF(SQRT((J14/$A14)^2+(J15/$A15)^2)&gt;2,5,5*SQRT((J14/$A14)^2+(J15/$A15)^2)/2)</f>
        <v>#DIV/0!</v>
      </c>
      <c r="K16" s="44" t="e">
        <f t="shared" si="5"/>
        <v>#DIV/0!</v>
      </c>
      <c r="L16" s="44" t="e">
        <f t="shared" si="5"/>
        <v>#DIV/0!</v>
      </c>
      <c r="M16" s="44" t="e">
        <f t="shared" si="5"/>
        <v>#DIV/0!</v>
      </c>
      <c r="N16" s="44" t="e">
        <f t="shared" si="5"/>
        <v>#DIV/0!</v>
      </c>
      <c r="O16" s="44" t="e">
        <f t="shared" si="5"/>
        <v>#DIV/0!</v>
      </c>
      <c r="P16" s="44" t="e">
        <f t="shared" si="5"/>
        <v>#DIV/0!</v>
      </c>
      <c r="Q16" s="45"/>
      <c r="R16" s="21"/>
      <c r="S16" s="18"/>
      <c r="T16" s="18"/>
      <c r="U16" s="1"/>
      <c r="V16" s="1"/>
      <c r="W16" s="1"/>
      <c r="X16" s="1"/>
      <c r="Y16" s="1"/>
      <c r="Z16" s="1"/>
    </row>
    <row r="17" spans="1:26" ht="16.5" customHeight="1">
      <c r="A17" s="157" t="s">
        <v>26</v>
      </c>
      <c r="B17" s="158"/>
      <c r="C17" s="159"/>
      <c r="D17" s="46" t="e">
        <f t="shared" ref="D17:P17" si="6">IF(SQRT((D14/$B14)^2+(D15/$B15)^2)&gt;2,5,5*SQRT((D14/$B14)^2+(D15/$B15)^2)/2)</f>
        <v>#DIV/0!</v>
      </c>
      <c r="E17" s="46" t="e">
        <f t="shared" si="6"/>
        <v>#DIV/0!</v>
      </c>
      <c r="F17" s="46" t="e">
        <f t="shared" si="6"/>
        <v>#DIV/0!</v>
      </c>
      <c r="G17" s="46" t="e">
        <f t="shared" si="6"/>
        <v>#DIV/0!</v>
      </c>
      <c r="H17" s="46" t="e">
        <f t="shared" si="6"/>
        <v>#DIV/0!</v>
      </c>
      <c r="I17" s="46" t="e">
        <f t="shared" si="6"/>
        <v>#DIV/0!</v>
      </c>
      <c r="J17" s="46" t="e">
        <f t="shared" si="6"/>
        <v>#DIV/0!</v>
      </c>
      <c r="K17" s="46" t="e">
        <f t="shared" si="6"/>
        <v>#DIV/0!</v>
      </c>
      <c r="L17" s="46" t="e">
        <f t="shared" si="6"/>
        <v>#DIV/0!</v>
      </c>
      <c r="M17" s="46" t="e">
        <f t="shared" si="6"/>
        <v>#DIV/0!</v>
      </c>
      <c r="N17" s="46" t="e">
        <f t="shared" si="6"/>
        <v>#DIV/0!</v>
      </c>
      <c r="O17" s="46" t="e">
        <f t="shared" si="6"/>
        <v>#DIV/0!</v>
      </c>
      <c r="P17" s="46" t="e">
        <f t="shared" si="6"/>
        <v>#DIV/0!</v>
      </c>
      <c r="Q17" s="45"/>
      <c r="R17" s="21"/>
      <c r="S17" s="18"/>
      <c r="T17" s="18"/>
      <c r="U17" s="1"/>
      <c r="V17" s="1"/>
      <c r="W17" s="1"/>
      <c r="X17" s="1"/>
      <c r="Y17" s="1"/>
      <c r="Z17" s="1"/>
    </row>
    <row r="18" spans="1:26" ht="16.5" customHeight="1">
      <c r="A18" s="160" t="s">
        <v>27</v>
      </c>
      <c r="B18" s="161"/>
      <c r="C18" s="162"/>
      <c r="D18" s="47" t="e">
        <f t="shared" ref="D18:P18" si="7">IF(SQRT((D14/$A14)^2+(D15/$A15)^2)&gt;2,3,3*SQRT((D14/$A14)^2+(D15/$A15)^2)/2)</f>
        <v>#DIV/0!</v>
      </c>
      <c r="E18" s="47" t="e">
        <f t="shared" si="7"/>
        <v>#DIV/0!</v>
      </c>
      <c r="F18" s="47" t="e">
        <f t="shared" si="7"/>
        <v>#DIV/0!</v>
      </c>
      <c r="G18" s="47" t="e">
        <f t="shared" si="7"/>
        <v>#DIV/0!</v>
      </c>
      <c r="H18" s="47" t="e">
        <f t="shared" si="7"/>
        <v>#DIV/0!</v>
      </c>
      <c r="I18" s="47" t="e">
        <f t="shared" si="7"/>
        <v>#DIV/0!</v>
      </c>
      <c r="J18" s="47" t="e">
        <f>IF(SQRT((J14/$A14)^2+(J15/$A15)^2)&gt;2,3,3*SQRT((J14/$A14)^2+(J15/$A15)^2)/2)</f>
        <v>#DIV/0!</v>
      </c>
      <c r="K18" s="47" t="e">
        <f t="shared" si="7"/>
        <v>#DIV/0!</v>
      </c>
      <c r="L18" s="47" t="e">
        <f t="shared" si="7"/>
        <v>#DIV/0!</v>
      </c>
      <c r="M18" s="47" t="e">
        <f t="shared" si="7"/>
        <v>#DIV/0!</v>
      </c>
      <c r="N18" s="47" t="e">
        <f t="shared" si="7"/>
        <v>#DIV/0!</v>
      </c>
      <c r="O18" s="47" t="e">
        <f t="shared" si="7"/>
        <v>#DIV/0!</v>
      </c>
      <c r="P18" s="47" t="e">
        <f t="shared" si="7"/>
        <v>#DIV/0!</v>
      </c>
      <c r="Q18" s="45"/>
      <c r="R18" s="21"/>
      <c r="S18" s="18"/>
      <c r="T18" s="18"/>
      <c r="U18" s="1"/>
      <c r="V18" s="1"/>
      <c r="W18" s="1"/>
      <c r="X18" s="1"/>
      <c r="Y18" s="1"/>
      <c r="Z18" s="1"/>
    </row>
    <row r="19" spans="1:26" ht="19.5" customHeight="1">
      <c r="A19" s="163" t="s">
        <v>28</v>
      </c>
      <c r="B19" s="158"/>
      <c r="C19" s="159"/>
      <c r="D19" s="48" t="e">
        <f t="shared" ref="D19:P19" si="8">IF(SQRT((D14/$B14)^2+(D15/$B15)^2)&gt;2,3,3*SQRT((D14/$B14)^2+(D15/$B15)^2)/2)</f>
        <v>#DIV/0!</v>
      </c>
      <c r="E19" s="48" t="e">
        <f t="shared" si="8"/>
        <v>#DIV/0!</v>
      </c>
      <c r="F19" s="48" t="e">
        <f t="shared" si="8"/>
        <v>#DIV/0!</v>
      </c>
      <c r="G19" s="48" t="e">
        <f t="shared" si="8"/>
        <v>#DIV/0!</v>
      </c>
      <c r="H19" s="48" t="e">
        <f t="shared" si="8"/>
        <v>#DIV/0!</v>
      </c>
      <c r="I19" s="48" t="e">
        <f t="shared" si="8"/>
        <v>#DIV/0!</v>
      </c>
      <c r="J19" s="48" t="e">
        <f t="shared" si="8"/>
        <v>#DIV/0!</v>
      </c>
      <c r="K19" s="48" t="e">
        <f t="shared" si="8"/>
        <v>#DIV/0!</v>
      </c>
      <c r="L19" s="48" t="e">
        <f t="shared" si="8"/>
        <v>#DIV/0!</v>
      </c>
      <c r="M19" s="48" t="e">
        <f t="shared" si="8"/>
        <v>#DIV/0!</v>
      </c>
      <c r="N19" s="48" t="e">
        <f t="shared" si="8"/>
        <v>#DIV/0!</v>
      </c>
      <c r="O19" s="48" t="e">
        <f t="shared" si="8"/>
        <v>#DIV/0!</v>
      </c>
      <c r="P19" s="48" t="e">
        <f t="shared" si="8"/>
        <v>#DIV/0!</v>
      </c>
      <c r="Q19" s="45"/>
      <c r="R19" s="18"/>
      <c r="S19" s="18"/>
      <c r="T19" s="18"/>
      <c r="U19" s="1"/>
      <c r="V19" s="1"/>
      <c r="W19" s="1"/>
      <c r="X19" s="1"/>
      <c r="Y19" s="1"/>
      <c r="Z19" s="1"/>
    </row>
    <row r="20" spans="1:26" ht="18.75" customHeight="1">
      <c r="A20" s="49"/>
      <c r="B20" s="50"/>
      <c r="C20" s="50"/>
      <c r="D20" s="51"/>
      <c r="E20" s="51"/>
      <c r="F20" s="51"/>
      <c r="G20" s="51"/>
      <c r="H20" s="51"/>
      <c r="I20" s="51"/>
      <c r="J20" s="51"/>
      <c r="K20" s="118" t="s">
        <v>145</v>
      </c>
      <c r="L20" s="118" t="s">
        <v>146</v>
      </c>
      <c r="M20" s="51"/>
      <c r="N20" s="51"/>
      <c r="O20" s="51"/>
      <c r="P20" s="51"/>
      <c r="Q20" s="52"/>
      <c r="R20" s="18"/>
      <c r="S20" s="18"/>
      <c r="T20" s="18"/>
      <c r="U20" s="1"/>
      <c r="V20" s="1"/>
      <c r="W20" s="1"/>
      <c r="X20" s="1"/>
      <c r="Y20" s="1"/>
      <c r="Z20" s="1"/>
    </row>
    <row r="21" spans="1:26" ht="15.75" customHeight="1">
      <c r="A21" s="143" t="s">
        <v>43</v>
      </c>
      <c r="B21" s="144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5"/>
      <c r="R21" s="53"/>
      <c r="S21" s="18"/>
      <c r="T21" s="18"/>
      <c r="U21" s="1"/>
      <c r="V21" s="1"/>
      <c r="W21" s="1"/>
      <c r="X21" s="1"/>
      <c r="Y21" s="1"/>
      <c r="Z21" s="1"/>
    </row>
    <row r="22" spans="1:26" ht="15.75" customHeight="1">
      <c r="A22" s="2"/>
      <c r="B22" s="3"/>
      <c r="C22" s="4" t="s">
        <v>1</v>
      </c>
      <c r="D22" s="5" t="s">
        <v>2</v>
      </c>
      <c r="E22" s="5" t="s">
        <v>2</v>
      </c>
      <c r="F22" s="5" t="s">
        <v>2</v>
      </c>
      <c r="G22" s="5" t="s">
        <v>2</v>
      </c>
      <c r="H22" s="5" t="s">
        <v>2</v>
      </c>
      <c r="I22" s="5" t="s">
        <v>2</v>
      </c>
      <c r="J22" s="6" t="s">
        <v>3</v>
      </c>
      <c r="K22" s="6" t="s">
        <v>3</v>
      </c>
      <c r="L22" s="6" t="s">
        <v>3</v>
      </c>
      <c r="M22" s="6" t="s">
        <v>3</v>
      </c>
      <c r="N22" s="6" t="s">
        <v>3</v>
      </c>
      <c r="O22" s="6" t="s">
        <v>3</v>
      </c>
      <c r="P22" s="7" t="s">
        <v>4</v>
      </c>
      <c r="Q22" s="54" t="s">
        <v>5</v>
      </c>
      <c r="R22" s="37"/>
      <c r="S22" s="37"/>
      <c r="T22" s="18"/>
      <c r="U22" s="1"/>
      <c r="V22" s="1"/>
      <c r="W22" s="1"/>
      <c r="X22" s="1"/>
      <c r="Y22" s="1"/>
      <c r="Z22" s="1"/>
    </row>
    <row r="23" spans="1:26" ht="15.75" customHeight="1">
      <c r="A23" s="10" t="s">
        <v>6</v>
      </c>
      <c r="B23" s="11" t="s">
        <v>7</v>
      </c>
      <c r="C23" s="12" t="s">
        <v>8</v>
      </c>
      <c r="D23" s="56" t="s">
        <v>44</v>
      </c>
      <c r="E23" s="56" t="s">
        <v>45</v>
      </c>
      <c r="F23" s="56" t="s">
        <v>46</v>
      </c>
      <c r="G23" s="56" t="s">
        <v>47</v>
      </c>
      <c r="H23" s="55" t="s">
        <v>48</v>
      </c>
      <c r="I23" s="56" t="s">
        <v>49</v>
      </c>
      <c r="J23" s="56" t="s">
        <v>50</v>
      </c>
      <c r="K23" s="55" t="s">
        <v>51</v>
      </c>
      <c r="L23" s="56" t="s">
        <v>52</v>
      </c>
      <c r="M23" s="56" t="s">
        <v>53</v>
      </c>
      <c r="N23" s="56" t="s">
        <v>54</v>
      </c>
      <c r="O23" s="56" t="s">
        <v>55</v>
      </c>
      <c r="P23" s="56" t="s">
        <v>56</v>
      </c>
      <c r="Q23" s="56" t="s">
        <v>57</v>
      </c>
      <c r="R23" s="37"/>
      <c r="S23" s="57"/>
      <c r="T23" s="18"/>
      <c r="U23" s="1"/>
      <c r="V23" s="1"/>
      <c r="W23" s="1"/>
      <c r="X23" s="1"/>
      <c r="Y23" s="1"/>
      <c r="Z23" s="1"/>
    </row>
    <row r="24" spans="1:26" ht="15.75" customHeight="1">
      <c r="A24" s="15">
        <f t="shared" ref="A24:A25" si="9">AVERAGE(D24:R24)</f>
        <v>0</v>
      </c>
      <c r="B24" s="16">
        <f>AVERAGE(E24:F24,G24:I24,K24:Q24)</f>
        <v>0</v>
      </c>
      <c r="C24" s="17" t="s">
        <v>23</v>
      </c>
      <c r="D24" s="18">
        <f>經濟!D13</f>
        <v>0</v>
      </c>
      <c r="E24" s="18">
        <f>經濟!F13</f>
        <v>0</v>
      </c>
      <c r="F24" s="18">
        <f>經濟!H13</f>
        <v>0</v>
      </c>
      <c r="G24" s="18">
        <f>經濟!J13</f>
        <v>0</v>
      </c>
      <c r="H24" s="18">
        <f>經濟!L13</f>
        <v>0</v>
      </c>
      <c r="I24" s="18">
        <f>經濟!N13</f>
        <v>0</v>
      </c>
      <c r="J24" s="18">
        <f>經濟!P13</f>
        <v>0</v>
      </c>
      <c r="K24" s="18">
        <f>經濟!R13</f>
        <v>0</v>
      </c>
      <c r="L24" s="18">
        <f>經濟!T13</f>
        <v>0</v>
      </c>
      <c r="M24" s="18">
        <f>經濟!V13</f>
        <v>0</v>
      </c>
      <c r="N24" s="18">
        <f>經濟!X13</f>
        <v>0</v>
      </c>
      <c r="O24" s="18">
        <f>經濟!Z13</f>
        <v>0</v>
      </c>
      <c r="P24" s="18">
        <f>經濟!AB13</f>
        <v>0</v>
      </c>
      <c r="Q24" s="18">
        <f>經濟!AD13</f>
        <v>0</v>
      </c>
      <c r="R24" s="37"/>
      <c r="S24" s="18"/>
      <c r="T24" s="18"/>
      <c r="U24" s="1"/>
      <c r="V24" s="1"/>
      <c r="W24" s="1"/>
      <c r="X24" s="1"/>
      <c r="Y24" s="1"/>
      <c r="Z24" s="1"/>
    </row>
    <row r="25" spans="1:26" ht="15.75" customHeight="1">
      <c r="A25" s="58">
        <f t="shared" si="9"/>
        <v>0</v>
      </c>
      <c r="B25" s="59">
        <f>AVERAGE(E25:F25,G25:I25,K25:Q25)</f>
        <v>0</v>
      </c>
      <c r="C25" s="12" t="s">
        <v>24</v>
      </c>
      <c r="D25" s="18">
        <f>經濟!E13</f>
        <v>0</v>
      </c>
      <c r="E25" s="18">
        <f>經濟!G13</f>
        <v>0</v>
      </c>
      <c r="F25" s="18">
        <f>經濟!I13</f>
        <v>0</v>
      </c>
      <c r="G25" s="18">
        <f>經濟!K13</f>
        <v>0</v>
      </c>
      <c r="H25" s="18">
        <f>經濟!M13</f>
        <v>0</v>
      </c>
      <c r="I25" s="18">
        <f>經濟!O13</f>
        <v>0</v>
      </c>
      <c r="J25" s="18">
        <f>經濟!Q13</f>
        <v>0</v>
      </c>
      <c r="K25" s="18">
        <f>經濟!S13</f>
        <v>0</v>
      </c>
      <c r="L25" s="18">
        <f>經濟!U13</f>
        <v>0</v>
      </c>
      <c r="M25" s="18">
        <f>經濟!W13</f>
        <v>0</v>
      </c>
      <c r="N25" s="18">
        <f>經濟!Y13</f>
        <v>0</v>
      </c>
      <c r="O25" s="18">
        <f>經濟!AA13</f>
        <v>0</v>
      </c>
      <c r="P25" s="18">
        <f>經濟!AC13</f>
        <v>0</v>
      </c>
      <c r="Q25" s="18">
        <f>經濟!AE13</f>
        <v>0</v>
      </c>
      <c r="R25" s="37"/>
      <c r="S25" s="18"/>
      <c r="T25" s="18"/>
      <c r="U25" s="1"/>
      <c r="V25" s="1"/>
      <c r="W25" s="1"/>
      <c r="X25" s="1"/>
      <c r="Y25" s="1"/>
      <c r="Z25" s="1"/>
    </row>
    <row r="26" spans="1:26" ht="15.75" customHeight="1">
      <c r="A26" s="148" t="s">
        <v>25</v>
      </c>
      <c r="B26" s="149"/>
      <c r="C26" s="124"/>
      <c r="D26" s="60" t="e">
        <f t="shared" ref="D26:Q26" si="10">IF(SQRT((D24/$A24)^2+(D25/$A25)^2)&gt;2,5,5*SQRT((D24/$A24)^2+(D25/$A25)^2)/2)</f>
        <v>#DIV/0!</v>
      </c>
      <c r="E26" s="60" t="e">
        <f t="shared" si="10"/>
        <v>#DIV/0!</v>
      </c>
      <c r="F26" s="60" t="e">
        <f t="shared" si="10"/>
        <v>#DIV/0!</v>
      </c>
      <c r="G26" s="60" t="e">
        <f t="shared" si="10"/>
        <v>#DIV/0!</v>
      </c>
      <c r="H26" s="60" t="e">
        <f t="shared" si="10"/>
        <v>#DIV/0!</v>
      </c>
      <c r="I26" s="60" t="e">
        <f t="shared" si="10"/>
        <v>#DIV/0!</v>
      </c>
      <c r="J26" s="60" t="e">
        <f t="shared" si="10"/>
        <v>#DIV/0!</v>
      </c>
      <c r="K26" s="60" t="e">
        <f t="shared" si="10"/>
        <v>#DIV/0!</v>
      </c>
      <c r="L26" s="60" t="e">
        <f t="shared" si="10"/>
        <v>#DIV/0!</v>
      </c>
      <c r="M26" s="60" t="e">
        <f t="shared" si="10"/>
        <v>#DIV/0!</v>
      </c>
      <c r="N26" s="60" t="e">
        <f t="shared" si="10"/>
        <v>#DIV/0!</v>
      </c>
      <c r="O26" s="60" t="e">
        <f t="shared" si="10"/>
        <v>#DIV/0!</v>
      </c>
      <c r="P26" s="60" t="e">
        <f t="shared" si="10"/>
        <v>#DIV/0!</v>
      </c>
      <c r="Q26" s="61" t="e">
        <f t="shared" si="10"/>
        <v>#DIV/0!</v>
      </c>
      <c r="R26" s="37"/>
      <c r="S26" s="62"/>
      <c r="T26" s="18"/>
      <c r="U26" s="1"/>
      <c r="V26" s="1"/>
      <c r="W26" s="1"/>
      <c r="X26" s="1"/>
      <c r="Y26" s="1"/>
      <c r="Z26" s="1"/>
    </row>
    <row r="27" spans="1:26" ht="15.75" customHeight="1">
      <c r="A27" s="136" t="s">
        <v>26</v>
      </c>
      <c r="B27" s="137"/>
      <c r="C27" s="138"/>
      <c r="D27" s="22" t="e">
        <f t="shared" ref="D27:Q27" si="11">IF(SQRT((D24/$B24)^2+(D25/$B25)^2)&gt;2,5,5*SQRT((D24/$B24)^2+(D25/$B25)^2)/2)</f>
        <v>#DIV/0!</v>
      </c>
      <c r="E27" s="22" t="e">
        <f t="shared" si="11"/>
        <v>#DIV/0!</v>
      </c>
      <c r="F27" s="22" t="e">
        <f t="shared" si="11"/>
        <v>#DIV/0!</v>
      </c>
      <c r="G27" s="22" t="e">
        <f t="shared" si="11"/>
        <v>#DIV/0!</v>
      </c>
      <c r="H27" s="22" t="e">
        <f t="shared" si="11"/>
        <v>#DIV/0!</v>
      </c>
      <c r="I27" s="22" t="e">
        <f t="shared" si="11"/>
        <v>#DIV/0!</v>
      </c>
      <c r="J27" s="22" t="e">
        <f t="shared" si="11"/>
        <v>#DIV/0!</v>
      </c>
      <c r="K27" s="22" t="e">
        <f t="shared" si="11"/>
        <v>#DIV/0!</v>
      </c>
      <c r="L27" s="22" t="e">
        <f t="shared" si="11"/>
        <v>#DIV/0!</v>
      </c>
      <c r="M27" s="22" t="e">
        <f t="shared" si="11"/>
        <v>#DIV/0!</v>
      </c>
      <c r="N27" s="22" t="e">
        <f t="shared" si="11"/>
        <v>#DIV/0!</v>
      </c>
      <c r="O27" s="22" t="e">
        <f t="shared" si="11"/>
        <v>#DIV/0!</v>
      </c>
      <c r="P27" s="22" t="e">
        <f t="shared" si="11"/>
        <v>#DIV/0!</v>
      </c>
      <c r="Q27" s="23" t="e">
        <f t="shared" si="11"/>
        <v>#DIV/0!</v>
      </c>
      <c r="R27" s="37"/>
      <c r="S27" s="62"/>
      <c r="T27" s="18"/>
      <c r="U27" s="1"/>
      <c r="V27" s="1"/>
      <c r="W27" s="1"/>
      <c r="X27" s="1"/>
      <c r="Y27" s="1"/>
      <c r="Z27" s="1"/>
    </row>
    <row r="28" spans="1:26" ht="15.75" customHeight="1">
      <c r="A28" s="150" t="s">
        <v>27</v>
      </c>
      <c r="B28" s="149"/>
      <c r="C28" s="124"/>
      <c r="D28" s="63" t="e">
        <f t="shared" ref="D28:Q28" si="12">IF(SQRT((D24/$B24)^2+(D25/$B25)^2)&gt;2,3,3*SQRT((D24/$B24)^2+(D25/$B25)^2)/2)</f>
        <v>#DIV/0!</v>
      </c>
      <c r="E28" s="63" t="e">
        <f t="shared" si="12"/>
        <v>#DIV/0!</v>
      </c>
      <c r="F28" s="63" t="e">
        <f t="shared" si="12"/>
        <v>#DIV/0!</v>
      </c>
      <c r="G28" s="63" t="e">
        <f t="shared" si="12"/>
        <v>#DIV/0!</v>
      </c>
      <c r="H28" s="63" t="e">
        <f t="shared" si="12"/>
        <v>#DIV/0!</v>
      </c>
      <c r="I28" s="63" t="e">
        <f t="shared" si="12"/>
        <v>#DIV/0!</v>
      </c>
      <c r="J28" s="63" t="e">
        <f t="shared" si="12"/>
        <v>#DIV/0!</v>
      </c>
      <c r="K28" s="63" t="e">
        <f t="shared" si="12"/>
        <v>#DIV/0!</v>
      </c>
      <c r="L28" s="63" t="e">
        <f t="shared" si="12"/>
        <v>#DIV/0!</v>
      </c>
      <c r="M28" s="63" t="e">
        <f t="shared" si="12"/>
        <v>#DIV/0!</v>
      </c>
      <c r="N28" s="63" t="e">
        <f t="shared" si="12"/>
        <v>#DIV/0!</v>
      </c>
      <c r="O28" s="63" t="e">
        <f t="shared" si="12"/>
        <v>#DIV/0!</v>
      </c>
      <c r="P28" s="63" t="e">
        <f t="shared" si="12"/>
        <v>#DIV/0!</v>
      </c>
      <c r="Q28" s="64" t="e">
        <f t="shared" si="12"/>
        <v>#DIV/0!</v>
      </c>
      <c r="R28" s="37"/>
      <c r="S28" s="62"/>
      <c r="T28" s="18"/>
      <c r="U28" s="1"/>
      <c r="V28" s="1"/>
      <c r="W28" s="1"/>
      <c r="X28" s="1"/>
      <c r="Y28" s="1"/>
      <c r="Z28" s="1"/>
    </row>
    <row r="29" spans="1:26" ht="17.25" customHeight="1">
      <c r="A29" s="142" t="s">
        <v>28</v>
      </c>
      <c r="B29" s="137"/>
      <c r="C29" s="138"/>
      <c r="D29" s="26" t="e">
        <f t="shared" ref="D29:Q29" si="13">IF(SQRT((D24/$A24)^2+(D25/$A25)^2)&gt;2,3,3*SQRT((D24/$A24)^2+(D25/$A25)^2)/2)</f>
        <v>#DIV/0!</v>
      </c>
      <c r="E29" s="26" t="e">
        <f t="shared" si="13"/>
        <v>#DIV/0!</v>
      </c>
      <c r="F29" s="26" t="e">
        <f t="shared" si="13"/>
        <v>#DIV/0!</v>
      </c>
      <c r="G29" s="26" t="e">
        <f t="shared" si="13"/>
        <v>#DIV/0!</v>
      </c>
      <c r="H29" s="26" t="e">
        <f t="shared" si="13"/>
        <v>#DIV/0!</v>
      </c>
      <c r="I29" s="26" t="e">
        <f t="shared" si="13"/>
        <v>#DIV/0!</v>
      </c>
      <c r="J29" s="26" t="e">
        <f t="shared" si="13"/>
        <v>#DIV/0!</v>
      </c>
      <c r="K29" s="26" t="e">
        <f t="shared" si="13"/>
        <v>#DIV/0!</v>
      </c>
      <c r="L29" s="26" t="e">
        <f t="shared" si="13"/>
        <v>#DIV/0!</v>
      </c>
      <c r="M29" s="26" t="e">
        <f t="shared" si="13"/>
        <v>#DIV/0!</v>
      </c>
      <c r="N29" s="26" t="e">
        <f t="shared" si="13"/>
        <v>#DIV/0!</v>
      </c>
      <c r="O29" s="26" t="e">
        <f t="shared" si="13"/>
        <v>#DIV/0!</v>
      </c>
      <c r="P29" s="26" t="e">
        <f t="shared" si="13"/>
        <v>#DIV/0!</v>
      </c>
      <c r="Q29" s="27" t="e">
        <f t="shared" si="13"/>
        <v>#DIV/0!</v>
      </c>
      <c r="R29" s="37"/>
      <c r="S29" s="62"/>
      <c r="T29" s="18"/>
      <c r="U29" s="1"/>
      <c r="V29" s="1"/>
      <c r="W29" s="1"/>
      <c r="X29" s="1"/>
      <c r="Y29" s="1"/>
      <c r="Z29" s="1"/>
    </row>
    <row r="30" spans="1:26" ht="15.75" customHeight="1">
      <c r="A30" s="3"/>
      <c r="B30" s="3"/>
      <c r="C30" s="18"/>
      <c r="D30" s="65"/>
      <c r="E30" s="65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37"/>
      <c r="S30" s="18"/>
      <c r="T30" s="18"/>
      <c r="U30" s="1"/>
      <c r="V30" s="1"/>
      <c r="W30" s="1"/>
      <c r="X30" s="1"/>
      <c r="Y30" s="1"/>
      <c r="Z30" s="1"/>
    </row>
    <row r="31" spans="1:26" ht="15.75" customHeight="1">
      <c r="A31" s="143" t="s">
        <v>58</v>
      </c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5"/>
      <c r="R31" s="1"/>
      <c r="S31" s="1"/>
      <c r="T31" s="18"/>
      <c r="U31" s="1"/>
      <c r="V31" s="1"/>
      <c r="W31" s="1"/>
      <c r="X31" s="1"/>
      <c r="Y31" s="1"/>
      <c r="Z31" s="1"/>
    </row>
    <row r="32" spans="1:26" ht="15.75" customHeight="1">
      <c r="A32" s="2"/>
      <c r="B32" s="3"/>
      <c r="C32" s="4" t="s">
        <v>1</v>
      </c>
      <c r="D32" s="5" t="s">
        <v>2</v>
      </c>
      <c r="E32" s="5" t="s">
        <v>2</v>
      </c>
      <c r="F32" s="5" t="s">
        <v>2</v>
      </c>
      <c r="G32" s="5" t="s">
        <v>2</v>
      </c>
      <c r="H32" s="5" t="s">
        <v>2</v>
      </c>
      <c r="I32" s="5" t="s">
        <v>2</v>
      </c>
      <c r="J32" s="6" t="s">
        <v>3</v>
      </c>
      <c r="K32" s="6" t="s">
        <v>3</v>
      </c>
      <c r="L32" s="6" t="s">
        <v>3</v>
      </c>
      <c r="M32" s="6" t="s">
        <v>3</v>
      </c>
      <c r="N32" s="6" t="s">
        <v>3</v>
      </c>
      <c r="O32" s="6" t="s">
        <v>3</v>
      </c>
      <c r="P32" s="6" t="s">
        <v>3</v>
      </c>
      <c r="Q32" s="7" t="s">
        <v>4</v>
      </c>
      <c r="R32" s="1"/>
      <c r="S32" s="1"/>
      <c r="T32" s="18"/>
      <c r="U32" s="1"/>
      <c r="V32" s="1"/>
      <c r="W32" s="1"/>
      <c r="X32" s="1"/>
      <c r="Y32" s="1"/>
      <c r="Z32" s="1"/>
    </row>
    <row r="33" spans="1:26" ht="15.75" customHeight="1">
      <c r="A33" s="10" t="s">
        <v>6</v>
      </c>
      <c r="B33" s="11" t="s">
        <v>7</v>
      </c>
      <c r="C33" s="12" t="s">
        <v>8</v>
      </c>
      <c r="D33" s="56" t="s">
        <v>59</v>
      </c>
      <c r="E33" s="56" t="s">
        <v>60</v>
      </c>
      <c r="F33" s="56" t="s">
        <v>61</v>
      </c>
      <c r="G33" s="42" t="s">
        <v>62</v>
      </c>
      <c r="H33" s="56" t="s">
        <v>63</v>
      </c>
      <c r="I33" s="55" t="s">
        <v>64</v>
      </c>
      <c r="J33" s="56" t="s">
        <v>65</v>
      </c>
      <c r="K33" s="56" t="s">
        <v>66</v>
      </c>
      <c r="L33" s="56" t="s">
        <v>67</v>
      </c>
      <c r="M33" s="56" t="s">
        <v>68</v>
      </c>
      <c r="N33" s="56" t="s">
        <v>69</v>
      </c>
      <c r="O33" s="56" t="s">
        <v>70</v>
      </c>
      <c r="P33" s="55" t="s">
        <v>71</v>
      </c>
      <c r="Q33" s="56" t="s">
        <v>72</v>
      </c>
      <c r="R33" s="1"/>
      <c r="S33" s="1"/>
      <c r="T33" s="18"/>
      <c r="U33" s="1"/>
      <c r="V33" s="1"/>
      <c r="W33" s="1"/>
      <c r="X33" s="1"/>
      <c r="Y33" s="1"/>
      <c r="Z33" s="1"/>
    </row>
    <row r="34" spans="1:26" ht="15.75" customHeight="1">
      <c r="A34" s="15">
        <f t="shared" ref="A34:A35" si="14">AVERAGE(D34:P34)</f>
        <v>0</v>
      </c>
      <c r="B34" s="16">
        <f>AVERAGE(E34:F34,G34:I34,K34:Q34)</f>
        <v>0</v>
      </c>
      <c r="C34" s="17" t="s">
        <v>23</v>
      </c>
      <c r="D34" s="18">
        <f>' 財政'!D18</f>
        <v>0</v>
      </c>
      <c r="E34" s="18">
        <f>' 財政'!F18</f>
        <v>0</v>
      </c>
      <c r="F34" s="18">
        <f>' 財政'!H18</f>
        <v>0</v>
      </c>
      <c r="G34" s="18">
        <f>' 財政'!J18</f>
        <v>0</v>
      </c>
      <c r="H34" s="18">
        <f>' 財政'!L18</f>
        <v>0</v>
      </c>
      <c r="I34" s="18">
        <f>' 財政'!N18</f>
        <v>0</v>
      </c>
      <c r="J34" s="18">
        <f>' 財政'!P18</f>
        <v>0</v>
      </c>
      <c r="K34" s="18">
        <f>' 財政'!R18</f>
        <v>0</v>
      </c>
      <c r="L34" s="18">
        <f>' 財政'!T18</f>
        <v>0</v>
      </c>
      <c r="M34" s="18">
        <f>' 財政'!V18</f>
        <v>0</v>
      </c>
      <c r="N34" s="18">
        <f>' 財政'!X18</f>
        <v>0</v>
      </c>
      <c r="O34" s="18">
        <f>' 財政'!Z18</f>
        <v>0</v>
      </c>
      <c r="P34" s="18">
        <f>' 財政'!AB18</f>
        <v>0</v>
      </c>
      <c r="Q34" s="18">
        <f>' 財政'!AD18</f>
        <v>0</v>
      </c>
      <c r="R34" s="1"/>
      <c r="S34" s="1"/>
      <c r="T34" s="18"/>
      <c r="U34" s="1"/>
      <c r="V34" s="1"/>
      <c r="W34" s="1"/>
      <c r="X34" s="1"/>
      <c r="Y34" s="1"/>
      <c r="Z34" s="1"/>
    </row>
    <row r="35" spans="1:26" ht="15.75" customHeight="1">
      <c r="A35" s="15">
        <f t="shared" si="14"/>
        <v>0</v>
      </c>
      <c r="B35" s="16">
        <f>AVERAGE(E35:F35,G35:I35,K35:Q35)</f>
        <v>0</v>
      </c>
      <c r="C35" s="12" t="s">
        <v>24</v>
      </c>
      <c r="D35" s="18">
        <f>' 財政'!E18</f>
        <v>0</v>
      </c>
      <c r="E35" s="18">
        <f>' 財政'!G18</f>
        <v>0</v>
      </c>
      <c r="F35" s="18">
        <f>' 財政'!I18</f>
        <v>0</v>
      </c>
      <c r="G35" s="18">
        <f>' 財政'!K18</f>
        <v>0</v>
      </c>
      <c r="H35" s="18">
        <f>' 財政'!M18</f>
        <v>0</v>
      </c>
      <c r="I35" s="18">
        <f>' 財政'!O18</f>
        <v>0</v>
      </c>
      <c r="J35" s="18">
        <f>' 財政'!Q18</f>
        <v>0</v>
      </c>
      <c r="K35" s="18">
        <f>' 財政'!S18</f>
        <v>0</v>
      </c>
      <c r="L35" s="18">
        <f>' 財政'!U18</f>
        <v>0</v>
      </c>
      <c r="M35" s="18">
        <f>' 財政'!W18</f>
        <v>0</v>
      </c>
      <c r="N35" s="18">
        <f>' 財政'!Y18</f>
        <v>0</v>
      </c>
      <c r="O35" s="18">
        <f>' 財政'!AA18</f>
        <v>0</v>
      </c>
      <c r="P35" s="18">
        <f>' 財政'!AC18</f>
        <v>0</v>
      </c>
      <c r="Q35" s="18">
        <f>' 財政'!AE18</f>
        <v>0</v>
      </c>
      <c r="R35" s="1"/>
      <c r="S35" s="1"/>
      <c r="T35" s="18"/>
      <c r="U35" s="1"/>
      <c r="V35" s="1"/>
      <c r="W35" s="1"/>
      <c r="X35" s="1"/>
      <c r="Y35" s="1"/>
      <c r="Z35" s="1"/>
    </row>
    <row r="36" spans="1:26" ht="15.75" customHeight="1">
      <c r="A36" s="146" t="s">
        <v>25</v>
      </c>
      <c r="B36" s="140"/>
      <c r="C36" s="141"/>
      <c r="D36" s="19" t="e">
        <f t="shared" ref="D36:Q36" si="15">IF(SQRT((D34/$A34)^2+(D35/$A35)^2)&gt;2,5,5*SQRT((D34/$A34)^2+(D35/$A35)^2)/2)</f>
        <v>#DIV/0!</v>
      </c>
      <c r="E36" s="19" t="e">
        <f t="shared" si="15"/>
        <v>#DIV/0!</v>
      </c>
      <c r="F36" s="19" t="e">
        <f t="shared" si="15"/>
        <v>#DIV/0!</v>
      </c>
      <c r="G36" s="19" t="e">
        <f t="shared" si="15"/>
        <v>#DIV/0!</v>
      </c>
      <c r="H36" s="19" t="e">
        <f t="shared" si="15"/>
        <v>#DIV/0!</v>
      </c>
      <c r="I36" s="19" t="e">
        <f t="shared" si="15"/>
        <v>#DIV/0!</v>
      </c>
      <c r="J36" s="19" t="e">
        <f t="shared" si="15"/>
        <v>#DIV/0!</v>
      </c>
      <c r="K36" s="19" t="e">
        <f t="shared" si="15"/>
        <v>#DIV/0!</v>
      </c>
      <c r="L36" s="19" t="e">
        <f t="shared" si="15"/>
        <v>#DIV/0!</v>
      </c>
      <c r="M36" s="19" t="e">
        <f t="shared" si="15"/>
        <v>#DIV/0!</v>
      </c>
      <c r="N36" s="19" t="e">
        <f t="shared" si="15"/>
        <v>#DIV/0!</v>
      </c>
      <c r="O36" s="19" t="e">
        <f t="shared" si="15"/>
        <v>#DIV/0!</v>
      </c>
      <c r="P36" s="60" t="e">
        <f t="shared" si="15"/>
        <v>#DIV/0!</v>
      </c>
      <c r="Q36" s="61" t="e">
        <f t="shared" si="15"/>
        <v>#DIV/0!</v>
      </c>
      <c r="R36" s="21"/>
      <c r="S36" s="18"/>
      <c r="T36" s="18"/>
      <c r="U36" s="1"/>
      <c r="V36" s="1"/>
      <c r="W36" s="1"/>
      <c r="X36" s="1"/>
      <c r="Y36" s="1"/>
      <c r="Z36" s="1"/>
    </row>
    <row r="37" spans="1:26" ht="15.75" customHeight="1">
      <c r="A37" s="136" t="s">
        <v>26</v>
      </c>
      <c r="B37" s="137"/>
      <c r="C37" s="138"/>
      <c r="D37" s="22" t="e">
        <f t="shared" ref="D37:Q37" si="16">IF(SQRT((D34/$B34)^2+(D35/$B35)^2)&gt;2,5,5*SQRT((D34/$B34)^2+(D35/$B35)^2)/2)</f>
        <v>#DIV/0!</v>
      </c>
      <c r="E37" s="22" t="e">
        <f t="shared" si="16"/>
        <v>#DIV/0!</v>
      </c>
      <c r="F37" s="22" t="e">
        <f t="shared" si="16"/>
        <v>#DIV/0!</v>
      </c>
      <c r="G37" s="22" t="e">
        <f t="shared" si="16"/>
        <v>#DIV/0!</v>
      </c>
      <c r="H37" s="22" t="e">
        <f t="shared" si="16"/>
        <v>#DIV/0!</v>
      </c>
      <c r="I37" s="22" t="e">
        <f t="shared" si="16"/>
        <v>#DIV/0!</v>
      </c>
      <c r="J37" s="22" t="e">
        <f t="shared" si="16"/>
        <v>#DIV/0!</v>
      </c>
      <c r="K37" s="22" t="e">
        <f t="shared" si="16"/>
        <v>#DIV/0!</v>
      </c>
      <c r="L37" s="22" t="e">
        <f t="shared" si="16"/>
        <v>#DIV/0!</v>
      </c>
      <c r="M37" s="22" t="e">
        <f t="shared" si="16"/>
        <v>#DIV/0!</v>
      </c>
      <c r="N37" s="22" t="e">
        <f t="shared" si="16"/>
        <v>#DIV/0!</v>
      </c>
      <c r="O37" s="22" t="e">
        <f t="shared" si="16"/>
        <v>#DIV/0!</v>
      </c>
      <c r="P37" s="22" t="e">
        <f t="shared" si="16"/>
        <v>#DIV/0!</v>
      </c>
      <c r="Q37" s="23" t="e">
        <f t="shared" si="16"/>
        <v>#DIV/0!</v>
      </c>
      <c r="R37" s="21"/>
      <c r="S37" s="18"/>
      <c r="T37" s="18"/>
      <c r="U37" s="1"/>
      <c r="V37" s="1"/>
      <c r="W37" s="1"/>
      <c r="X37" s="1"/>
      <c r="Y37" s="1"/>
      <c r="Z37" s="1"/>
    </row>
    <row r="38" spans="1:26" ht="15.75" customHeight="1">
      <c r="A38" s="139" t="s">
        <v>27</v>
      </c>
      <c r="B38" s="140"/>
      <c r="C38" s="141"/>
      <c r="D38" s="24" t="e">
        <f t="shared" ref="D38:Q38" si="17">IF(SQRT((D34/$A34)^2+(D35/$A35)^2)&gt;2,3,3*SQRT((D34/$A34)^2+(D35/$A35)^2)/2)</f>
        <v>#DIV/0!</v>
      </c>
      <c r="E38" s="24" t="s">
        <v>144</v>
      </c>
      <c r="F38" s="24" t="e">
        <f t="shared" si="17"/>
        <v>#DIV/0!</v>
      </c>
      <c r="G38" s="24" t="e">
        <f t="shared" si="17"/>
        <v>#DIV/0!</v>
      </c>
      <c r="H38" s="24" t="e">
        <f t="shared" si="17"/>
        <v>#DIV/0!</v>
      </c>
      <c r="I38" s="24" t="e">
        <f t="shared" si="17"/>
        <v>#DIV/0!</v>
      </c>
      <c r="J38" s="24" t="e">
        <f t="shared" si="17"/>
        <v>#DIV/0!</v>
      </c>
      <c r="K38" s="24" t="e">
        <f t="shared" si="17"/>
        <v>#DIV/0!</v>
      </c>
      <c r="L38" s="24" t="e">
        <f t="shared" si="17"/>
        <v>#DIV/0!</v>
      </c>
      <c r="M38" s="24" t="e">
        <f t="shared" si="17"/>
        <v>#DIV/0!</v>
      </c>
      <c r="N38" s="24" t="e">
        <f t="shared" si="17"/>
        <v>#DIV/0!</v>
      </c>
      <c r="O38" s="24" t="e">
        <f t="shared" si="17"/>
        <v>#DIV/0!</v>
      </c>
      <c r="P38" s="63" t="e">
        <f t="shared" si="17"/>
        <v>#DIV/0!</v>
      </c>
      <c r="Q38" s="64" t="e">
        <f t="shared" si="17"/>
        <v>#DIV/0!</v>
      </c>
      <c r="R38" s="21"/>
      <c r="S38" s="18"/>
      <c r="T38" s="18"/>
      <c r="U38" s="1"/>
      <c r="V38" s="1"/>
      <c r="W38" s="1"/>
      <c r="X38" s="1"/>
      <c r="Y38" s="1"/>
      <c r="Z38" s="1"/>
    </row>
    <row r="39" spans="1:26" ht="14.25" customHeight="1">
      <c r="A39" s="147" t="s">
        <v>28</v>
      </c>
      <c r="B39" s="137"/>
      <c r="C39" s="138"/>
      <c r="D39" s="26" t="e">
        <f t="shared" ref="D39:Q39" si="18">IF(SQRT((D34/$B34)^2+(D35/$B35)^2)&gt;2,3,3*SQRT((D34/$B34)^2+(D35/$B35)^2)/2)</f>
        <v>#DIV/0!</v>
      </c>
      <c r="E39" s="26" t="e">
        <f t="shared" si="18"/>
        <v>#DIV/0!</v>
      </c>
      <c r="F39" s="26" t="e">
        <f t="shared" si="18"/>
        <v>#DIV/0!</v>
      </c>
      <c r="G39" s="26" t="e">
        <f t="shared" si="18"/>
        <v>#DIV/0!</v>
      </c>
      <c r="H39" s="26" t="e">
        <f t="shared" si="18"/>
        <v>#DIV/0!</v>
      </c>
      <c r="I39" s="26" t="e">
        <f t="shared" si="18"/>
        <v>#DIV/0!</v>
      </c>
      <c r="J39" s="26" t="e">
        <f t="shared" si="18"/>
        <v>#DIV/0!</v>
      </c>
      <c r="K39" s="26" t="e">
        <f t="shared" si="18"/>
        <v>#DIV/0!</v>
      </c>
      <c r="L39" s="26" t="e">
        <f t="shared" si="18"/>
        <v>#DIV/0!</v>
      </c>
      <c r="M39" s="26" t="e">
        <f t="shared" si="18"/>
        <v>#DIV/0!</v>
      </c>
      <c r="N39" s="26" t="e">
        <f t="shared" si="18"/>
        <v>#DIV/0!</v>
      </c>
      <c r="O39" s="26" t="e">
        <f t="shared" si="18"/>
        <v>#DIV/0!</v>
      </c>
      <c r="P39" s="26" t="e">
        <f t="shared" si="18"/>
        <v>#DIV/0!</v>
      </c>
      <c r="Q39" s="27" t="e">
        <f t="shared" si="18"/>
        <v>#DIV/0!</v>
      </c>
      <c r="R39" s="18"/>
      <c r="S39" s="18"/>
      <c r="T39" s="18"/>
      <c r="U39" s="1"/>
      <c r="V39" s="1"/>
      <c r="W39" s="1"/>
      <c r="X39" s="1"/>
      <c r="Y39" s="1"/>
      <c r="Z39" s="1"/>
    </row>
    <row r="40" spans="1:26" ht="17.25" customHeight="1">
      <c r="A40" s="29"/>
      <c r="B40" s="29"/>
      <c r="C40" s="29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18"/>
      <c r="R40" s="18"/>
      <c r="S40" s="18"/>
      <c r="T40" s="18"/>
      <c r="U40" s="1"/>
      <c r="V40" s="1"/>
      <c r="W40" s="1"/>
      <c r="X40" s="1"/>
      <c r="Y40" s="1"/>
      <c r="Z40" s="1"/>
    </row>
    <row r="41" spans="1:26" ht="15.75" customHeight="1">
      <c r="A41" s="143" t="s">
        <v>73</v>
      </c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5"/>
      <c r="S41" s="1"/>
      <c r="T41" s="18"/>
      <c r="U41" s="1"/>
      <c r="V41" s="1"/>
      <c r="W41" s="1"/>
      <c r="X41" s="1"/>
      <c r="Y41" s="1"/>
      <c r="Z41" s="1"/>
    </row>
    <row r="42" spans="1:26" ht="15.75" customHeight="1">
      <c r="A42" s="2"/>
      <c r="B42" s="3"/>
      <c r="C42" s="4" t="s">
        <v>1</v>
      </c>
      <c r="D42" s="5" t="s">
        <v>2</v>
      </c>
      <c r="E42" s="5" t="s">
        <v>2</v>
      </c>
      <c r="F42" s="5" t="s">
        <v>2</v>
      </c>
      <c r="G42" s="5" t="s">
        <v>2</v>
      </c>
      <c r="H42" s="5" t="s">
        <v>2</v>
      </c>
      <c r="I42" s="5" t="s">
        <v>2</v>
      </c>
      <c r="J42" s="5" t="s">
        <v>2</v>
      </c>
      <c r="K42" s="6" t="s">
        <v>3</v>
      </c>
      <c r="L42" s="6" t="s">
        <v>3</v>
      </c>
      <c r="M42" s="6" t="s">
        <v>3</v>
      </c>
      <c r="N42" s="6" t="s">
        <v>3</v>
      </c>
      <c r="O42" s="6" t="s">
        <v>3</v>
      </c>
      <c r="P42" s="6" t="s">
        <v>3</v>
      </c>
      <c r="Q42" s="6" t="s">
        <v>3</v>
      </c>
      <c r="R42" s="7" t="s">
        <v>4</v>
      </c>
      <c r="S42" s="1"/>
      <c r="T42" s="18"/>
      <c r="U42" s="1"/>
      <c r="V42" s="1"/>
      <c r="W42" s="1"/>
      <c r="X42" s="1"/>
      <c r="Y42" s="1"/>
      <c r="Z42" s="1"/>
    </row>
    <row r="43" spans="1:26" ht="15.75" customHeight="1">
      <c r="A43" s="10" t="s">
        <v>6</v>
      </c>
      <c r="B43" s="11" t="s">
        <v>7</v>
      </c>
      <c r="C43" s="12" t="s">
        <v>8</v>
      </c>
      <c r="D43" s="56" t="s">
        <v>74</v>
      </c>
      <c r="E43" s="55" t="s">
        <v>75</v>
      </c>
      <c r="F43" s="42" t="s">
        <v>76</v>
      </c>
      <c r="G43" s="56" t="s">
        <v>77</v>
      </c>
      <c r="H43" s="56" t="s">
        <v>78</v>
      </c>
      <c r="I43" s="56" t="s">
        <v>79</v>
      </c>
      <c r="J43" s="56" t="s">
        <v>80</v>
      </c>
      <c r="K43" s="56" t="s">
        <v>81</v>
      </c>
      <c r="L43" s="56" t="s">
        <v>82</v>
      </c>
      <c r="M43" s="42" t="s">
        <v>83</v>
      </c>
      <c r="N43" s="56" t="s">
        <v>84</v>
      </c>
      <c r="O43" s="56" t="s">
        <v>85</v>
      </c>
      <c r="P43" s="56" t="s">
        <v>86</v>
      </c>
      <c r="Q43" s="56" t="s">
        <v>87</v>
      </c>
      <c r="R43" s="55" t="s">
        <v>88</v>
      </c>
      <c r="S43" s="1"/>
      <c r="T43" s="18"/>
      <c r="U43" s="1"/>
      <c r="V43" s="1"/>
      <c r="W43" s="1"/>
      <c r="X43" s="1"/>
      <c r="Y43" s="1"/>
      <c r="Z43" s="1"/>
    </row>
    <row r="44" spans="1:26" ht="15.75" customHeight="1">
      <c r="A44" s="15">
        <f t="shared" ref="A44:A45" si="19">AVERAGE(D44:P44)</f>
        <v>0</v>
      </c>
      <c r="B44" s="16">
        <f>AVERAGE(E44:F44,G44:J44,L44:R44)</f>
        <v>0</v>
      </c>
      <c r="C44" s="17" t="s">
        <v>23</v>
      </c>
      <c r="D44" s="1">
        <f>教育文化!D15</f>
        <v>0</v>
      </c>
      <c r="E44" s="1">
        <f>教育文化!F15</f>
        <v>0</v>
      </c>
      <c r="F44" s="1">
        <f>教育文化!H15</f>
        <v>0</v>
      </c>
      <c r="G44" s="1">
        <f>教育文化!J15</f>
        <v>0</v>
      </c>
      <c r="H44" s="1">
        <f>教育文化!L15</f>
        <v>0</v>
      </c>
      <c r="I44" s="1">
        <f>教育文化!N15</f>
        <v>0</v>
      </c>
      <c r="J44" s="1">
        <f>教育文化!P15</f>
        <v>0</v>
      </c>
      <c r="K44" s="1">
        <f>教育文化!R15</f>
        <v>0</v>
      </c>
      <c r="L44" s="1">
        <f>教育文化!T15</f>
        <v>0</v>
      </c>
      <c r="M44" s="1">
        <f>教育文化!V15</f>
        <v>0</v>
      </c>
      <c r="N44" s="1">
        <f>教育文化!X15</f>
        <v>0</v>
      </c>
      <c r="O44" s="1">
        <f>教育文化!Z15</f>
        <v>0</v>
      </c>
      <c r="P44" s="1">
        <f>教育文化!AB15</f>
        <v>0</v>
      </c>
      <c r="Q44" s="1">
        <f>教育文化!AD15</f>
        <v>0</v>
      </c>
      <c r="R44" s="1">
        <f>教育文化!AF15</f>
        <v>0</v>
      </c>
      <c r="S44" s="1"/>
      <c r="T44" s="18"/>
      <c r="U44" s="1"/>
      <c r="V44" s="1"/>
      <c r="W44" s="1"/>
      <c r="X44" s="1"/>
      <c r="Y44" s="1"/>
      <c r="Z44" s="1"/>
    </row>
    <row r="45" spans="1:26" ht="16.5" customHeight="1">
      <c r="A45" s="15">
        <f t="shared" si="19"/>
        <v>0</v>
      </c>
      <c r="B45" s="16">
        <f>AVERAGE(E45:F45,G45:J45,L45:R45)</f>
        <v>0</v>
      </c>
      <c r="C45" s="12" t="s">
        <v>24</v>
      </c>
      <c r="D45" s="1">
        <f>教育文化!E15</f>
        <v>0</v>
      </c>
      <c r="E45" s="1">
        <f>教育文化!G15</f>
        <v>0</v>
      </c>
      <c r="F45" s="1">
        <f>教育文化!I15</f>
        <v>0</v>
      </c>
      <c r="G45" s="1">
        <f>教育文化!K15</f>
        <v>0</v>
      </c>
      <c r="H45" s="1">
        <f>教育文化!M15</f>
        <v>0</v>
      </c>
      <c r="I45" s="1">
        <f>教育文化!O15</f>
        <v>0</v>
      </c>
      <c r="J45" s="1">
        <f>教育文化!Q15</f>
        <v>0</v>
      </c>
      <c r="K45" s="1">
        <f>教育文化!S15</f>
        <v>0</v>
      </c>
      <c r="L45" s="1">
        <f>教育文化!U15</f>
        <v>0</v>
      </c>
      <c r="M45" s="1">
        <f>教育文化!W15</f>
        <v>0</v>
      </c>
      <c r="N45" s="1">
        <f>教育文化!Y15</f>
        <v>0</v>
      </c>
      <c r="O45" s="1">
        <f>教育文化!AA15</f>
        <v>0</v>
      </c>
      <c r="P45" s="1">
        <f>教育文化!AC15</f>
        <v>0</v>
      </c>
      <c r="Q45" s="1">
        <f>教育文化!AE15</f>
        <v>0</v>
      </c>
      <c r="R45" s="1">
        <f>教育文化!AG15</f>
        <v>0</v>
      </c>
      <c r="S45" s="1"/>
      <c r="T45" s="18"/>
      <c r="U45" s="1"/>
      <c r="V45" s="1"/>
      <c r="W45" s="1"/>
      <c r="X45" s="1"/>
      <c r="Y45" s="1"/>
      <c r="Z45" s="1"/>
    </row>
    <row r="46" spans="1:26" ht="16.5" customHeight="1">
      <c r="A46" s="146" t="s">
        <v>25</v>
      </c>
      <c r="B46" s="140"/>
      <c r="C46" s="141"/>
      <c r="D46" s="19" t="e">
        <f t="shared" ref="D46:R46" si="20">IF(SQRT((D44/$A44)^2+(D45/$A45)^2)&gt;2,5,5*SQRT((D44/$A44)^2+(D45/$A45)^2)/2)</f>
        <v>#DIV/0!</v>
      </c>
      <c r="E46" s="19" t="e">
        <f t="shared" si="20"/>
        <v>#DIV/0!</v>
      </c>
      <c r="F46" s="19" t="e">
        <f t="shared" si="20"/>
        <v>#DIV/0!</v>
      </c>
      <c r="G46" s="19" t="e">
        <f t="shared" si="20"/>
        <v>#DIV/0!</v>
      </c>
      <c r="H46" s="19" t="e">
        <f t="shared" si="20"/>
        <v>#DIV/0!</v>
      </c>
      <c r="I46" s="19" t="e">
        <f t="shared" si="20"/>
        <v>#DIV/0!</v>
      </c>
      <c r="J46" s="19" t="e">
        <f t="shared" si="20"/>
        <v>#DIV/0!</v>
      </c>
      <c r="K46" s="19" t="e">
        <f t="shared" si="20"/>
        <v>#DIV/0!</v>
      </c>
      <c r="L46" s="19" t="e">
        <f t="shared" si="20"/>
        <v>#DIV/0!</v>
      </c>
      <c r="M46" s="19" t="e">
        <f t="shared" si="20"/>
        <v>#DIV/0!</v>
      </c>
      <c r="N46" s="19" t="e">
        <f t="shared" si="20"/>
        <v>#DIV/0!</v>
      </c>
      <c r="O46" s="19" t="e">
        <f t="shared" si="20"/>
        <v>#DIV/0!</v>
      </c>
      <c r="P46" s="19" t="e">
        <f t="shared" si="20"/>
        <v>#DIV/0!</v>
      </c>
      <c r="Q46" s="19" t="e">
        <f t="shared" si="20"/>
        <v>#DIV/0!</v>
      </c>
      <c r="R46" s="66" t="e">
        <f t="shared" si="20"/>
        <v>#DIV/0!</v>
      </c>
      <c r="S46" s="1"/>
      <c r="T46" s="18"/>
      <c r="U46" s="1"/>
      <c r="V46" s="1"/>
      <c r="W46" s="1"/>
      <c r="X46" s="1"/>
      <c r="Y46" s="1"/>
      <c r="Z46" s="1"/>
    </row>
    <row r="47" spans="1:26" ht="16.5" customHeight="1">
      <c r="A47" s="136" t="s">
        <v>26</v>
      </c>
      <c r="B47" s="137"/>
      <c r="C47" s="138"/>
      <c r="D47" s="22" t="e">
        <f t="shared" ref="D47:R47" si="21">IF(SQRT((D44/$B44)^2+(D45/$B45)^2)&gt;2,5,5*SQRT((D44/$B44)^2+(D45/$B45)^2)/2)</f>
        <v>#DIV/0!</v>
      </c>
      <c r="E47" s="22" t="e">
        <f t="shared" si="21"/>
        <v>#DIV/0!</v>
      </c>
      <c r="F47" s="22" t="e">
        <f t="shared" si="21"/>
        <v>#DIV/0!</v>
      </c>
      <c r="G47" s="22" t="e">
        <f t="shared" si="21"/>
        <v>#DIV/0!</v>
      </c>
      <c r="H47" s="22" t="e">
        <f t="shared" si="21"/>
        <v>#DIV/0!</v>
      </c>
      <c r="I47" s="22" t="e">
        <f t="shared" si="21"/>
        <v>#DIV/0!</v>
      </c>
      <c r="J47" s="22" t="e">
        <f t="shared" si="21"/>
        <v>#DIV/0!</v>
      </c>
      <c r="K47" s="22" t="e">
        <f t="shared" si="21"/>
        <v>#DIV/0!</v>
      </c>
      <c r="L47" s="22" t="e">
        <f t="shared" si="21"/>
        <v>#DIV/0!</v>
      </c>
      <c r="M47" s="22" t="e">
        <f t="shared" si="21"/>
        <v>#DIV/0!</v>
      </c>
      <c r="N47" s="22" t="e">
        <f t="shared" si="21"/>
        <v>#DIV/0!</v>
      </c>
      <c r="O47" s="22" t="e">
        <f t="shared" si="21"/>
        <v>#DIV/0!</v>
      </c>
      <c r="P47" s="22" t="e">
        <f t="shared" si="21"/>
        <v>#DIV/0!</v>
      </c>
      <c r="Q47" s="22" t="e">
        <f t="shared" si="21"/>
        <v>#DIV/0!</v>
      </c>
      <c r="R47" s="23" t="e">
        <f t="shared" si="21"/>
        <v>#DIV/0!</v>
      </c>
      <c r="S47" s="1"/>
      <c r="T47" s="18"/>
      <c r="U47" s="1"/>
      <c r="V47" s="1"/>
      <c r="W47" s="1"/>
      <c r="X47" s="1"/>
      <c r="Y47" s="1"/>
      <c r="Z47" s="1"/>
    </row>
    <row r="48" spans="1:26" ht="16.5" customHeight="1">
      <c r="A48" s="139" t="s">
        <v>27</v>
      </c>
      <c r="B48" s="140"/>
      <c r="C48" s="141"/>
      <c r="D48" s="24" t="e">
        <f t="shared" ref="D48:R48" si="22">IF(SQRT((D44/$A44)^2+(D45/$A45)^2)&gt;2,3,3*SQRT((D44/$A44)^2+(D45/$A45)^2)/2)</f>
        <v>#DIV/0!</v>
      </c>
      <c r="E48" s="24" t="e">
        <f t="shared" si="22"/>
        <v>#DIV/0!</v>
      </c>
      <c r="F48" s="24" t="e">
        <f t="shared" si="22"/>
        <v>#DIV/0!</v>
      </c>
      <c r="G48" s="24" t="e">
        <f t="shared" si="22"/>
        <v>#DIV/0!</v>
      </c>
      <c r="H48" s="24" t="e">
        <f t="shared" si="22"/>
        <v>#DIV/0!</v>
      </c>
      <c r="I48" s="24" t="e">
        <f t="shared" si="22"/>
        <v>#DIV/0!</v>
      </c>
      <c r="J48" s="24" t="e">
        <f t="shared" si="22"/>
        <v>#DIV/0!</v>
      </c>
      <c r="K48" s="24" t="e">
        <f t="shared" si="22"/>
        <v>#DIV/0!</v>
      </c>
      <c r="L48" s="24" t="e">
        <f t="shared" si="22"/>
        <v>#DIV/0!</v>
      </c>
      <c r="M48" s="24" t="e">
        <f t="shared" si="22"/>
        <v>#DIV/0!</v>
      </c>
      <c r="N48" s="24" t="e">
        <f t="shared" si="22"/>
        <v>#DIV/0!</v>
      </c>
      <c r="O48" s="24" t="e">
        <f t="shared" si="22"/>
        <v>#DIV/0!</v>
      </c>
      <c r="P48" s="24" t="e">
        <f t="shared" si="22"/>
        <v>#DIV/0!</v>
      </c>
      <c r="Q48" s="24" t="e">
        <f t="shared" si="22"/>
        <v>#DIV/0!</v>
      </c>
      <c r="R48" s="25" t="e">
        <f t="shared" si="22"/>
        <v>#DIV/0!</v>
      </c>
      <c r="S48" s="1"/>
      <c r="T48" s="18"/>
      <c r="U48" s="1"/>
      <c r="V48" s="1"/>
      <c r="W48" s="1"/>
      <c r="X48" s="1"/>
      <c r="Y48" s="1"/>
      <c r="Z48" s="1"/>
    </row>
    <row r="49" spans="1:26" ht="15.75" customHeight="1">
      <c r="A49" s="142" t="s">
        <v>28</v>
      </c>
      <c r="B49" s="137"/>
      <c r="C49" s="138"/>
      <c r="D49" s="67" t="e">
        <f t="shared" ref="D49:R49" si="23">IF(SQRT((D44/$B44)^2+(D45/$B45)^2)&gt;2,3,3*SQRT((D44/$B44)^2+(D45/$B45)^2)/2)</f>
        <v>#DIV/0!</v>
      </c>
      <c r="E49" s="67" t="e">
        <f t="shared" si="23"/>
        <v>#DIV/0!</v>
      </c>
      <c r="F49" s="67" t="e">
        <f t="shared" si="23"/>
        <v>#DIV/0!</v>
      </c>
      <c r="G49" s="67" t="e">
        <f t="shared" si="23"/>
        <v>#DIV/0!</v>
      </c>
      <c r="H49" s="67" t="e">
        <f t="shared" si="23"/>
        <v>#DIV/0!</v>
      </c>
      <c r="I49" s="67" t="e">
        <f t="shared" si="23"/>
        <v>#DIV/0!</v>
      </c>
      <c r="J49" s="67" t="e">
        <f t="shared" si="23"/>
        <v>#DIV/0!</v>
      </c>
      <c r="K49" s="67" t="e">
        <f t="shared" si="23"/>
        <v>#DIV/0!</v>
      </c>
      <c r="L49" s="67" t="e">
        <f t="shared" si="23"/>
        <v>#DIV/0!</v>
      </c>
      <c r="M49" s="67" t="e">
        <f t="shared" si="23"/>
        <v>#DIV/0!</v>
      </c>
      <c r="N49" s="67" t="e">
        <f t="shared" si="23"/>
        <v>#DIV/0!</v>
      </c>
      <c r="O49" s="67" t="e">
        <f t="shared" si="23"/>
        <v>#DIV/0!</v>
      </c>
      <c r="P49" s="67" t="e">
        <f t="shared" si="23"/>
        <v>#DIV/0!</v>
      </c>
      <c r="Q49" s="67" t="e">
        <f t="shared" si="23"/>
        <v>#DIV/0!</v>
      </c>
      <c r="R49" s="68" t="e">
        <f t="shared" si="23"/>
        <v>#DIV/0!</v>
      </c>
      <c r="S49" s="1"/>
      <c r="T49" s="18"/>
      <c r="U49" s="1"/>
      <c r="V49" s="1"/>
      <c r="W49" s="1"/>
      <c r="X49" s="1"/>
      <c r="Y49" s="1"/>
      <c r="Z49" s="1"/>
    </row>
    <row r="50" spans="1:26" ht="16.5" customHeight="1">
      <c r="A50" s="69"/>
      <c r="B50" s="70"/>
      <c r="C50" s="71"/>
      <c r="D50" s="72"/>
      <c r="E50" s="72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3"/>
      <c r="S50" s="18"/>
      <c r="T50" s="18"/>
      <c r="U50" s="1"/>
      <c r="V50" s="1"/>
      <c r="W50" s="1"/>
      <c r="X50" s="1"/>
      <c r="Y50" s="1"/>
      <c r="Z50" s="1"/>
    </row>
    <row r="51" spans="1:26" ht="16.5" customHeight="1">
      <c r="A51" s="143" t="s">
        <v>89</v>
      </c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5"/>
      <c r="S51" s="1"/>
      <c r="T51" s="18"/>
      <c r="U51" s="1"/>
      <c r="V51" s="1"/>
      <c r="W51" s="1"/>
      <c r="X51" s="1"/>
      <c r="Y51" s="1"/>
      <c r="Z51" s="1"/>
    </row>
    <row r="52" spans="1:26" ht="16.5" customHeight="1">
      <c r="A52" s="2"/>
      <c r="B52" s="3"/>
      <c r="C52" s="4" t="s">
        <v>1</v>
      </c>
      <c r="D52" s="5" t="s">
        <v>2</v>
      </c>
      <c r="E52" s="5" t="s">
        <v>2</v>
      </c>
      <c r="F52" s="5" t="s">
        <v>2</v>
      </c>
      <c r="G52" s="5" t="s">
        <v>2</v>
      </c>
      <c r="H52" s="5" t="s">
        <v>2</v>
      </c>
      <c r="I52" s="5" t="s">
        <v>2</v>
      </c>
      <c r="J52" s="5" t="s">
        <v>2</v>
      </c>
      <c r="K52" s="6" t="s">
        <v>3</v>
      </c>
      <c r="L52" s="6" t="s">
        <v>3</v>
      </c>
      <c r="M52" s="6" t="s">
        <v>3</v>
      </c>
      <c r="N52" s="6" t="s">
        <v>3</v>
      </c>
      <c r="O52" s="6" t="s">
        <v>3</v>
      </c>
      <c r="P52" s="6" t="s">
        <v>3</v>
      </c>
      <c r="Q52" s="6" t="s">
        <v>3</v>
      </c>
      <c r="R52" s="7" t="s">
        <v>4</v>
      </c>
      <c r="S52" s="1"/>
      <c r="T52" s="18"/>
      <c r="U52" s="1"/>
      <c r="V52" s="1"/>
      <c r="W52" s="1"/>
      <c r="X52" s="1"/>
      <c r="Y52" s="1"/>
      <c r="Z52" s="1"/>
    </row>
    <row r="53" spans="1:26" ht="16.5" customHeight="1">
      <c r="A53" s="10" t="s">
        <v>6</v>
      </c>
      <c r="B53" s="11" t="s">
        <v>7</v>
      </c>
      <c r="C53" s="12" t="s">
        <v>8</v>
      </c>
      <c r="D53" s="56" t="s">
        <v>90</v>
      </c>
      <c r="E53" s="55" t="s">
        <v>91</v>
      </c>
      <c r="F53" s="56" t="s">
        <v>92</v>
      </c>
      <c r="G53" s="56" t="s">
        <v>93</v>
      </c>
      <c r="H53" s="56" t="s">
        <v>94</v>
      </c>
      <c r="I53" s="56" t="s">
        <v>95</v>
      </c>
      <c r="J53" s="56" t="s">
        <v>96</v>
      </c>
      <c r="K53" s="56" t="s">
        <v>97</v>
      </c>
      <c r="L53" s="56" t="s">
        <v>98</v>
      </c>
      <c r="M53" s="55" t="s">
        <v>99</v>
      </c>
      <c r="N53" s="56" t="s">
        <v>100</v>
      </c>
      <c r="O53" s="56" t="s">
        <v>101</v>
      </c>
      <c r="P53" s="56" t="s">
        <v>102</v>
      </c>
      <c r="Q53" s="56" t="s">
        <v>103</v>
      </c>
      <c r="R53" s="56" t="s">
        <v>104</v>
      </c>
      <c r="S53" s="1"/>
      <c r="T53" s="18"/>
      <c r="U53" s="1"/>
      <c r="V53" s="1"/>
      <c r="W53" s="1"/>
      <c r="X53" s="1"/>
      <c r="Y53" s="1"/>
      <c r="Z53" s="1"/>
    </row>
    <row r="54" spans="1:26" ht="16.5" customHeight="1">
      <c r="A54" s="15">
        <f t="shared" ref="A54:A55" si="24">AVERAGE(D54:R54)</f>
        <v>0</v>
      </c>
      <c r="B54" s="16">
        <f>AVERAGE(E54,F54:L54,M54:Q54)</f>
        <v>0</v>
      </c>
      <c r="C54" s="17" t="s">
        <v>23</v>
      </c>
      <c r="D54" s="18">
        <f>交通!D15</f>
        <v>0</v>
      </c>
      <c r="E54" s="18">
        <f>交通!F15</f>
        <v>0</v>
      </c>
      <c r="F54" s="18">
        <f>交通!H15</f>
        <v>0</v>
      </c>
      <c r="G54" s="18">
        <f>交通!J15</f>
        <v>0</v>
      </c>
      <c r="H54" s="18">
        <f>交通!L15</f>
        <v>0</v>
      </c>
      <c r="I54" s="18">
        <f>交通!N15</f>
        <v>0</v>
      </c>
      <c r="J54" s="18">
        <f>交通!P15</f>
        <v>0</v>
      </c>
      <c r="K54" s="18">
        <f>交通!R15</f>
        <v>0</v>
      </c>
      <c r="L54" s="18">
        <f>交通!T15</f>
        <v>0</v>
      </c>
      <c r="M54" s="18">
        <f>交通!V15</f>
        <v>0</v>
      </c>
      <c r="N54" s="18">
        <f>交通!X15</f>
        <v>0</v>
      </c>
      <c r="O54" s="18">
        <f>交通!Z15</f>
        <v>0</v>
      </c>
      <c r="P54" s="18">
        <f>交通!AB15</f>
        <v>0</v>
      </c>
      <c r="Q54" s="18">
        <f>交通!AD15</f>
        <v>0</v>
      </c>
      <c r="R54" s="18">
        <f>交通!AF15</f>
        <v>0</v>
      </c>
      <c r="S54" s="1"/>
      <c r="T54" s="18"/>
      <c r="U54" s="1"/>
      <c r="V54" s="1"/>
      <c r="W54" s="1"/>
      <c r="X54" s="1"/>
      <c r="Y54" s="1"/>
      <c r="Z54" s="1"/>
    </row>
    <row r="55" spans="1:26" ht="16.5" customHeight="1">
      <c r="A55" s="15">
        <f t="shared" si="24"/>
        <v>0</v>
      </c>
      <c r="B55" s="16">
        <f>AVERAGE(E55,F55:L55,M55:Q55)</f>
        <v>0</v>
      </c>
      <c r="C55" s="12" t="s">
        <v>24</v>
      </c>
      <c r="D55" s="18">
        <f>交通!E15</f>
        <v>0</v>
      </c>
      <c r="E55" s="18">
        <f>交通!G15</f>
        <v>0</v>
      </c>
      <c r="F55" s="18">
        <f>交通!I15</f>
        <v>0</v>
      </c>
      <c r="G55" s="18">
        <f>交通!K15</f>
        <v>0</v>
      </c>
      <c r="H55" s="18">
        <f>交通!M15</f>
        <v>0</v>
      </c>
      <c r="I55" s="18">
        <f>交通!O15</f>
        <v>0</v>
      </c>
      <c r="J55" s="18">
        <f>交通!Q15</f>
        <v>0</v>
      </c>
      <c r="K55" s="18">
        <f>交通!S15</f>
        <v>0</v>
      </c>
      <c r="L55" s="18">
        <f>交通!U15</f>
        <v>0</v>
      </c>
      <c r="M55" s="18">
        <f>交通!W15</f>
        <v>0</v>
      </c>
      <c r="N55" s="18">
        <f>交通!Y15</f>
        <v>0</v>
      </c>
      <c r="O55" s="18">
        <f>交通!AA15</f>
        <v>0</v>
      </c>
      <c r="P55" s="18">
        <f>交通!AC15</f>
        <v>0</v>
      </c>
      <c r="Q55" s="18">
        <f>交通!AE15</f>
        <v>0</v>
      </c>
      <c r="R55" s="18">
        <f>交通!AG15</f>
        <v>0</v>
      </c>
      <c r="S55" s="1"/>
      <c r="T55" s="18"/>
      <c r="U55" s="1"/>
      <c r="V55" s="1"/>
      <c r="W55" s="1"/>
      <c r="X55" s="1"/>
      <c r="Y55" s="1"/>
      <c r="Z55" s="1"/>
    </row>
    <row r="56" spans="1:26" ht="16.5" customHeight="1">
      <c r="A56" s="146" t="s">
        <v>25</v>
      </c>
      <c r="B56" s="140"/>
      <c r="C56" s="141"/>
      <c r="D56" s="19" t="e">
        <f t="shared" ref="D56:R56" si="25">IF(SQRT((D54/$A54)^2+(D55/$A55)^2)&gt;2,5,5*SQRT((D54/$A54)^2+(D55/$A55)^2)/2)</f>
        <v>#DIV/0!</v>
      </c>
      <c r="E56" s="19" t="e">
        <f t="shared" si="25"/>
        <v>#DIV/0!</v>
      </c>
      <c r="F56" s="19" t="e">
        <f t="shared" si="25"/>
        <v>#DIV/0!</v>
      </c>
      <c r="G56" s="19" t="e">
        <f t="shared" si="25"/>
        <v>#DIV/0!</v>
      </c>
      <c r="H56" s="19" t="e">
        <f t="shared" si="25"/>
        <v>#DIV/0!</v>
      </c>
      <c r="I56" s="19" t="e">
        <f t="shared" si="25"/>
        <v>#DIV/0!</v>
      </c>
      <c r="J56" s="19" t="e">
        <f t="shared" si="25"/>
        <v>#DIV/0!</v>
      </c>
      <c r="K56" s="19" t="e">
        <f t="shared" si="25"/>
        <v>#DIV/0!</v>
      </c>
      <c r="L56" s="19" t="e">
        <f t="shared" si="25"/>
        <v>#DIV/0!</v>
      </c>
      <c r="M56" s="19" t="e">
        <f t="shared" si="25"/>
        <v>#DIV/0!</v>
      </c>
      <c r="N56" s="19" t="e">
        <f t="shared" si="25"/>
        <v>#DIV/0!</v>
      </c>
      <c r="O56" s="19" t="e">
        <f t="shared" si="25"/>
        <v>#DIV/0!</v>
      </c>
      <c r="P56" s="19" t="e">
        <f t="shared" si="25"/>
        <v>#DIV/0!</v>
      </c>
      <c r="Q56" s="60" t="e">
        <f t="shared" si="25"/>
        <v>#DIV/0!</v>
      </c>
      <c r="R56" s="61" t="e">
        <f t="shared" si="25"/>
        <v>#DIV/0!</v>
      </c>
      <c r="S56" s="18"/>
      <c r="T56" s="18"/>
      <c r="U56" s="1"/>
      <c r="V56" s="1"/>
      <c r="W56" s="1"/>
      <c r="X56" s="1"/>
      <c r="Y56" s="1"/>
      <c r="Z56" s="1"/>
    </row>
    <row r="57" spans="1:26" ht="16.5" customHeight="1">
      <c r="A57" s="136" t="s">
        <v>26</v>
      </c>
      <c r="B57" s="137"/>
      <c r="C57" s="138"/>
      <c r="D57" s="22" t="e">
        <f t="shared" ref="D57:R57" si="26">IF(SQRT((D54/$B54)^2+(D55/$B55)^2)&gt;2,5,5*SQRT((D54/$B54)^2+(D55/$B55)^2)/2)</f>
        <v>#DIV/0!</v>
      </c>
      <c r="E57" s="22" t="e">
        <f t="shared" si="26"/>
        <v>#DIV/0!</v>
      </c>
      <c r="F57" s="22" t="e">
        <f t="shared" si="26"/>
        <v>#DIV/0!</v>
      </c>
      <c r="G57" s="22" t="e">
        <f t="shared" si="26"/>
        <v>#DIV/0!</v>
      </c>
      <c r="H57" s="22" t="e">
        <f t="shared" si="26"/>
        <v>#DIV/0!</v>
      </c>
      <c r="I57" s="22" t="e">
        <f t="shared" si="26"/>
        <v>#DIV/0!</v>
      </c>
      <c r="J57" s="22" t="e">
        <f t="shared" si="26"/>
        <v>#DIV/0!</v>
      </c>
      <c r="K57" s="22" t="e">
        <f t="shared" si="26"/>
        <v>#DIV/0!</v>
      </c>
      <c r="L57" s="22" t="e">
        <f t="shared" si="26"/>
        <v>#DIV/0!</v>
      </c>
      <c r="M57" s="22" t="e">
        <f t="shared" si="26"/>
        <v>#DIV/0!</v>
      </c>
      <c r="N57" s="22" t="e">
        <f t="shared" si="26"/>
        <v>#DIV/0!</v>
      </c>
      <c r="O57" s="22" t="e">
        <f t="shared" si="26"/>
        <v>#DIV/0!</v>
      </c>
      <c r="P57" s="22" t="e">
        <f t="shared" si="26"/>
        <v>#DIV/0!</v>
      </c>
      <c r="Q57" s="22" t="e">
        <f t="shared" si="26"/>
        <v>#DIV/0!</v>
      </c>
      <c r="R57" s="23" t="e">
        <f t="shared" si="26"/>
        <v>#DIV/0!</v>
      </c>
      <c r="S57" s="18"/>
      <c r="T57" s="18"/>
      <c r="U57" s="1"/>
      <c r="V57" s="1"/>
      <c r="W57" s="1"/>
      <c r="X57" s="1"/>
      <c r="Y57" s="1"/>
      <c r="Z57" s="1"/>
    </row>
    <row r="58" spans="1:26" ht="16.5" customHeight="1">
      <c r="A58" s="139" t="s">
        <v>27</v>
      </c>
      <c r="B58" s="140"/>
      <c r="C58" s="141"/>
      <c r="D58" s="24" t="e">
        <f t="shared" ref="D58:R58" si="27">IF(SQRT((D54/$A54)^2+(D55/$A55)^2)&gt;2,3,3*SQRT((D54/$A54)^2+(D55/$A55)^2)/2)</f>
        <v>#DIV/0!</v>
      </c>
      <c r="E58" s="24" t="e">
        <f t="shared" si="27"/>
        <v>#DIV/0!</v>
      </c>
      <c r="F58" s="24" t="e">
        <f t="shared" si="27"/>
        <v>#DIV/0!</v>
      </c>
      <c r="G58" s="24" t="e">
        <f t="shared" si="27"/>
        <v>#DIV/0!</v>
      </c>
      <c r="H58" s="24" t="e">
        <f t="shared" si="27"/>
        <v>#DIV/0!</v>
      </c>
      <c r="I58" s="24" t="e">
        <f t="shared" si="27"/>
        <v>#DIV/0!</v>
      </c>
      <c r="J58" s="24" t="e">
        <f t="shared" si="27"/>
        <v>#DIV/0!</v>
      </c>
      <c r="K58" s="24" t="e">
        <f t="shared" si="27"/>
        <v>#DIV/0!</v>
      </c>
      <c r="L58" s="24" t="e">
        <f t="shared" si="27"/>
        <v>#DIV/0!</v>
      </c>
      <c r="M58" s="24" t="e">
        <f t="shared" si="27"/>
        <v>#DIV/0!</v>
      </c>
      <c r="N58" s="24" t="e">
        <f t="shared" si="27"/>
        <v>#DIV/0!</v>
      </c>
      <c r="O58" s="24" t="e">
        <f t="shared" si="27"/>
        <v>#DIV/0!</v>
      </c>
      <c r="P58" s="63" t="e">
        <f t="shared" si="27"/>
        <v>#DIV/0!</v>
      </c>
      <c r="Q58" s="63" t="e">
        <f t="shared" si="27"/>
        <v>#DIV/0!</v>
      </c>
      <c r="R58" s="64" t="e">
        <f t="shared" si="27"/>
        <v>#DIV/0!</v>
      </c>
      <c r="S58" s="18"/>
      <c r="T58" s="18"/>
      <c r="U58" s="1"/>
      <c r="V58" s="1"/>
      <c r="W58" s="1"/>
      <c r="X58" s="1"/>
      <c r="Y58" s="1"/>
      <c r="Z58" s="1"/>
    </row>
    <row r="59" spans="1:26" ht="15.75" customHeight="1">
      <c r="A59" s="142" t="s">
        <v>28</v>
      </c>
      <c r="B59" s="137"/>
      <c r="C59" s="138"/>
      <c r="D59" s="26" t="e">
        <f t="shared" ref="D59:R59" si="28">IF(SQRT((D54/$B54)^2+(D55/$B55)^2)&gt;2,3,3*SQRT((D54/$B54)^2+(D55/$B55)^2)/2)</f>
        <v>#DIV/0!</v>
      </c>
      <c r="E59" s="26" t="e">
        <f t="shared" si="28"/>
        <v>#DIV/0!</v>
      </c>
      <c r="F59" s="26" t="e">
        <f t="shared" si="28"/>
        <v>#DIV/0!</v>
      </c>
      <c r="G59" s="26" t="e">
        <f t="shared" si="28"/>
        <v>#DIV/0!</v>
      </c>
      <c r="H59" s="26" t="e">
        <f t="shared" si="28"/>
        <v>#DIV/0!</v>
      </c>
      <c r="I59" s="26" t="e">
        <f t="shared" si="28"/>
        <v>#DIV/0!</v>
      </c>
      <c r="J59" s="26" t="e">
        <f t="shared" si="28"/>
        <v>#DIV/0!</v>
      </c>
      <c r="K59" s="26" t="e">
        <f t="shared" si="28"/>
        <v>#DIV/0!</v>
      </c>
      <c r="L59" s="26" t="e">
        <f t="shared" si="28"/>
        <v>#DIV/0!</v>
      </c>
      <c r="M59" s="26" t="e">
        <f t="shared" si="28"/>
        <v>#DIV/0!</v>
      </c>
      <c r="N59" s="26" t="e">
        <f t="shared" si="28"/>
        <v>#DIV/0!</v>
      </c>
      <c r="O59" s="26" t="e">
        <f t="shared" si="28"/>
        <v>#DIV/0!</v>
      </c>
      <c r="P59" s="26" t="e">
        <f t="shared" si="28"/>
        <v>#DIV/0!</v>
      </c>
      <c r="Q59" s="26" t="e">
        <f t="shared" si="28"/>
        <v>#DIV/0!</v>
      </c>
      <c r="R59" s="27" t="e">
        <f t="shared" si="28"/>
        <v>#DIV/0!</v>
      </c>
      <c r="S59" s="18"/>
      <c r="T59" s="18"/>
      <c r="U59" s="1"/>
      <c r="V59" s="1"/>
      <c r="W59" s="1"/>
      <c r="X59" s="1"/>
      <c r="Y59" s="1"/>
      <c r="Z59" s="1"/>
    </row>
    <row r="60" spans="1:26" ht="16.5" customHeight="1">
      <c r="A60" s="29"/>
      <c r="B60" s="29"/>
      <c r="C60" s="29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18"/>
      <c r="T60" s="18"/>
      <c r="U60" s="1"/>
      <c r="V60" s="1"/>
      <c r="W60" s="1"/>
      <c r="X60" s="1"/>
      <c r="Y60" s="1"/>
      <c r="Z60" s="1"/>
    </row>
    <row r="61" spans="1:26" ht="16.5" customHeight="1">
      <c r="A61" s="143" t="s">
        <v>105</v>
      </c>
      <c r="B61" s="144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5"/>
      <c r="Q61" s="1"/>
      <c r="R61" s="18"/>
      <c r="S61" s="18"/>
      <c r="T61" s="1"/>
      <c r="U61" s="1"/>
      <c r="V61" s="1"/>
      <c r="W61" s="1"/>
      <c r="X61" s="1"/>
      <c r="Y61" s="1"/>
      <c r="Z61" s="74"/>
    </row>
    <row r="62" spans="1:26" ht="16.5" customHeight="1">
      <c r="A62" s="2"/>
      <c r="B62" s="3"/>
      <c r="C62" s="4" t="s">
        <v>1</v>
      </c>
      <c r="D62" s="5" t="s">
        <v>2</v>
      </c>
      <c r="E62" s="5" t="s">
        <v>2</v>
      </c>
      <c r="F62" s="5" t="s">
        <v>2</v>
      </c>
      <c r="G62" s="5" t="s">
        <v>2</v>
      </c>
      <c r="H62" s="5" t="s">
        <v>2</v>
      </c>
      <c r="I62" s="5" t="s">
        <v>2</v>
      </c>
      <c r="J62" s="6" t="s">
        <v>3</v>
      </c>
      <c r="K62" s="6" t="s">
        <v>3</v>
      </c>
      <c r="L62" s="6" t="s">
        <v>3</v>
      </c>
      <c r="M62" s="6" t="s">
        <v>3</v>
      </c>
      <c r="N62" s="6" t="s">
        <v>3</v>
      </c>
      <c r="O62" s="6" t="s">
        <v>3</v>
      </c>
      <c r="P62" s="7" t="s">
        <v>4</v>
      </c>
      <c r="Q62" s="18"/>
      <c r="R62" s="18"/>
      <c r="S62" s="1"/>
      <c r="T62" s="1"/>
      <c r="U62" s="1"/>
      <c r="V62" s="1"/>
      <c r="W62" s="1"/>
      <c r="X62" s="1"/>
      <c r="Y62" s="74"/>
      <c r="Z62" s="74"/>
    </row>
    <row r="63" spans="1:26" ht="16.5" customHeight="1">
      <c r="A63" s="10" t="s">
        <v>6</v>
      </c>
      <c r="B63" s="11" t="s">
        <v>7</v>
      </c>
      <c r="C63" s="12" t="s">
        <v>8</v>
      </c>
      <c r="D63" s="55" t="s">
        <v>106</v>
      </c>
      <c r="E63" s="56" t="s">
        <v>107</v>
      </c>
      <c r="F63" s="56" t="s">
        <v>108</v>
      </c>
      <c r="G63" s="56" t="s">
        <v>109</v>
      </c>
      <c r="H63" s="56" t="s">
        <v>110</v>
      </c>
      <c r="I63" s="56" t="s">
        <v>111</v>
      </c>
      <c r="J63" s="56" t="s">
        <v>112</v>
      </c>
      <c r="K63" s="56" t="s">
        <v>113</v>
      </c>
      <c r="L63" s="42" t="s">
        <v>114</v>
      </c>
      <c r="M63" s="56" t="s">
        <v>115</v>
      </c>
      <c r="N63" s="55" t="s">
        <v>116</v>
      </c>
      <c r="O63" s="56" t="s">
        <v>117</v>
      </c>
      <c r="P63" s="56" t="s">
        <v>118</v>
      </c>
      <c r="Q63" s="18"/>
      <c r="R63" s="18"/>
      <c r="S63" s="1"/>
      <c r="T63" s="1"/>
      <c r="U63" s="1"/>
      <c r="V63" s="1"/>
      <c r="W63" s="1"/>
      <c r="X63" s="1"/>
      <c r="Y63" s="74"/>
      <c r="Z63" s="74"/>
    </row>
    <row r="64" spans="1:26" ht="16.5" customHeight="1">
      <c r="A64" s="15">
        <f t="shared" ref="A64:A65" si="29">AVERAGE(D64:P64)</f>
        <v>0</v>
      </c>
      <c r="B64" s="16">
        <f>AVERAGE(E64:I64,K64:P64)</f>
        <v>0</v>
      </c>
      <c r="C64" s="17" t="s">
        <v>23</v>
      </c>
      <c r="D64" s="75">
        <f>' 司法法制'!D17</f>
        <v>0</v>
      </c>
      <c r="E64" s="75">
        <f>' 司法法制'!F17</f>
        <v>0</v>
      </c>
      <c r="F64" s="75">
        <f>' 司法法制'!H17</f>
        <v>0</v>
      </c>
      <c r="G64" s="75">
        <f>' 司法法制'!J17</f>
        <v>0</v>
      </c>
      <c r="H64" s="75">
        <f>' 司法法制'!L17</f>
        <v>0</v>
      </c>
      <c r="I64" s="75">
        <f>' 司法法制'!N17</f>
        <v>0</v>
      </c>
      <c r="J64" s="75">
        <f>' 司法法制'!P17</f>
        <v>0</v>
      </c>
      <c r="K64" s="75">
        <f>' 司法法制'!R17</f>
        <v>0</v>
      </c>
      <c r="L64" s="75">
        <f>' 司法法制'!T17</f>
        <v>0</v>
      </c>
      <c r="M64" s="75">
        <f>' 司法法制'!V17</f>
        <v>0</v>
      </c>
      <c r="N64" s="75">
        <f>' 司法法制'!X17</f>
        <v>0</v>
      </c>
      <c r="O64" s="75">
        <f>' 司法法制'!Z17</f>
        <v>0</v>
      </c>
      <c r="P64" s="75">
        <f>' 司法法制'!AB17</f>
        <v>0</v>
      </c>
      <c r="Q64" s="18"/>
      <c r="R64" s="18"/>
      <c r="S64" s="1"/>
      <c r="T64" s="1"/>
      <c r="U64" s="1"/>
      <c r="V64" s="1"/>
      <c r="W64" s="1"/>
      <c r="X64" s="1"/>
      <c r="Y64" s="74"/>
      <c r="Z64" s="74"/>
    </row>
    <row r="65" spans="1:26" ht="16.5" customHeight="1">
      <c r="A65" s="15">
        <f t="shared" si="29"/>
        <v>0</v>
      </c>
      <c r="B65" s="16">
        <f>AVERAGE(E65:I65,K65:P65)</f>
        <v>0</v>
      </c>
      <c r="C65" s="12" t="s">
        <v>24</v>
      </c>
      <c r="D65" s="75">
        <f>' 司法法制'!E17</f>
        <v>0</v>
      </c>
      <c r="E65" s="75">
        <f>' 司法法制'!G17</f>
        <v>0</v>
      </c>
      <c r="F65" s="75">
        <f>' 司法法制'!I17</f>
        <v>0</v>
      </c>
      <c r="G65" s="75">
        <f>' 司法法制'!K17</f>
        <v>0</v>
      </c>
      <c r="H65" s="75">
        <f>' 司法法制'!M17</f>
        <v>0</v>
      </c>
      <c r="I65" s="75">
        <f>' 司法法制'!O17</f>
        <v>0</v>
      </c>
      <c r="J65" s="75">
        <f>' 司法法制'!Q17</f>
        <v>0</v>
      </c>
      <c r="K65" s="75">
        <f>' 司法法制'!S17</f>
        <v>0</v>
      </c>
      <c r="L65" s="75">
        <f>' 司法法制'!U17</f>
        <v>0</v>
      </c>
      <c r="M65" s="75">
        <f>' 司法法制'!W17</f>
        <v>0</v>
      </c>
      <c r="N65" s="75">
        <f>' 司法法制'!Y17</f>
        <v>0</v>
      </c>
      <c r="O65" s="75">
        <f>' 司法法制'!AA17</f>
        <v>0</v>
      </c>
      <c r="P65" s="75">
        <f>' 司法法制'!AC17</f>
        <v>0</v>
      </c>
      <c r="Q65" s="18"/>
      <c r="R65" s="18"/>
      <c r="S65" s="1"/>
      <c r="T65" s="1"/>
      <c r="U65" s="1"/>
      <c r="V65" s="1"/>
      <c r="W65" s="1"/>
      <c r="X65" s="1"/>
      <c r="Y65" s="74"/>
      <c r="Z65" s="74"/>
    </row>
    <row r="66" spans="1:26" ht="16.5" customHeight="1">
      <c r="A66" s="146" t="s">
        <v>25</v>
      </c>
      <c r="B66" s="140"/>
      <c r="C66" s="141"/>
      <c r="D66" s="19" t="e">
        <f t="shared" ref="D66:P66" si="30">IF(SQRT((D64/$A64)^2+(D65/$A65)^2)&gt;2,5,5*SQRT((D64/$A64)^2+(D65/$A65)^2)/2)</f>
        <v>#DIV/0!</v>
      </c>
      <c r="E66" s="19" t="e">
        <f t="shared" si="30"/>
        <v>#DIV/0!</v>
      </c>
      <c r="F66" s="19" t="e">
        <f t="shared" si="30"/>
        <v>#DIV/0!</v>
      </c>
      <c r="G66" s="19" t="e">
        <f t="shared" si="30"/>
        <v>#DIV/0!</v>
      </c>
      <c r="H66" s="19" t="e">
        <f t="shared" si="30"/>
        <v>#DIV/0!</v>
      </c>
      <c r="I66" s="19" t="e">
        <f t="shared" si="30"/>
        <v>#DIV/0!</v>
      </c>
      <c r="J66" s="19" t="e">
        <f t="shared" si="30"/>
        <v>#DIV/0!</v>
      </c>
      <c r="K66" s="19" t="e">
        <f t="shared" si="30"/>
        <v>#DIV/0!</v>
      </c>
      <c r="L66" s="19" t="e">
        <f t="shared" si="30"/>
        <v>#DIV/0!</v>
      </c>
      <c r="M66" s="19" t="e">
        <f t="shared" si="30"/>
        <v>#DIV/0!</v>
      </c>
      <c r="N66" s="19" t="e">
        <f t="shared" si="30"/>
        <v>#DIV/0!</v>
      </c>
      <c r="O66" s="19" t="e">
        <f t="shared" si="30"/>
        <v>#DIV/0!</v>
      </c>
      <c r="P66" s="20" t="e">
        <f t="shared" si="30"/>
        <v>#DIV/0!</v>
      </c>
      <c r="Q66" s="18"/>
      <c r="R66" s="18"/>
      <c r="S66" s="1"/>
      <c r="T66" s="1"/>
      <c r="U66" s="1"/>
      <c r="V66" s="1"/>
      <c r="W66" s="1"/>
      <c r="X66" s="1"/>
      <c r="Y66" s="74"/>
      <c r="Z66" s="74"/>
    </row>
    <row r="67" spans="1:26" ht="16.5" customHeight="1">
      <c r="A67" s="136" t="s">
        <v>26</v>
      </c>
      <c r="B67" s="137"/>
      <c r="C67" s="138"/>
      <c r="D67" s="22" t="e">
        <f t="shared" ref="D67:P67" si="31">IF(SQRT((D64/$B64)^2+(D65/$B65)^2)&gt;2,5,5*SQRT((D64/$B64)^2+(D65/$B65)^2)/2)</f>
        <v>#DIV/0!</v>
      </c>
      <c r="E67" s="22" t="e">
        <f t="shared" si="31"/>
        <v>#DIV/0!</v>
      </c>
      <c r="F67" s="22" t="e">
        <f t="shared" si="31"/>
        <v>#DIV/0!</v>
      </c>
      <c r="G67" s="22" t="e">
        <f t="shared" si="31"/>
        <v>#DIV/0!</v>
      </c>
      <c r="H67" s="22" t="e">
        <f t="shared" si="31"/>
        <v>#DIV/0!</v>
      </c>
      <c r="I67" s="22" t="e">
        <f t="shared" si="31"/>
        <v>#DIV/0!</v>
      </c>
      <c r="J67" s="22" t="e">
        <f t="shared" si="31"/>
        <v>#DIV/0!</v>
      </c>
      <c r="K67" s="22" t="e">
        <f t="shared" si="31"/>
        <v>#DIV/0!</v>
      </c>
      <c r="L67" s="22" t="e">
        <f t="shared" si="31"/>
        <v>#DIV/0!</v>
      </c>
      <c r="M67" s="22" t="e">
        <f t="shared" si="31"/>
        <v>#DIV/0!</v>
      </c>
      <c r="N67" s="22" t="e">
        <f t="shared" si="31"/>
        <v>#DIV/0!</v>
      </c>
      <c r="O67" s="22" t="e">
        <f t="shared" si="31"/>
        <v>#DIV/0!</v>
      </c>
      <c r="P67" s="23" t="e">
        <f t="shared" si="31"/>
        <v>#DIV/0!</v>
      </c>
      <c r="Q67" s="18"/>
      <c r="R67" s="18"/>
      <c r="S67" s="1"/>
      <c r="T67" s="1"/>
      <c r="U67" s="1"/>
      <c r="V67" s="1"/>
      <c r="W67" s="1"/>
      <c r="X67" s="1"/>
      <c r="Y67" s="74"/>
      <c r="Z67" s="74"/>
    </row>
    <row r="68" spans="1:26" ht="16.5" customHeight="1">
      <c r="A68" s="139" t="s">
        <v>27</v>
      </c>
      <c r="B68" s="140"/>
      <c r="C68" s="141"/>
      <c r="D68" s="24" t="e">
        <f t="shared" ref="D68:P68" si="32">IF(SQRT((D64/$A64)^2+(D65/$A65)^2)&gt;2,3,3*SQRT((D64/$A64)^2+(D65/$A65)^2)/2)</f>
        <v>#DIV/0!</v>
      </c>
      <c r="E68" s="24" t="e">
        <f t="shared" si="32"/>
        <v>#DIV/0!</v>
      </c>
      <c r="F68" s="24" t="e">
        <f t="shared" si="32"/>
        <v>#DIV/0!</v>
      </c>
      <c r="G68" s="24" t="e">
        <f t="shared" si="32"/>
        <v>#DIV/0!</v>
      </c>
      <c r="H68" s="24" t="e">
        <f t="shared" si="32"/>
        <v>#DIV/0!</v>
      </c>
      <c r="I68" s="24" t="e">
        <f t="shared" si="32"/>
        <v>#DIV/0!</v>
      </c>
      <c r="J68" s="24" t="e">
        <f t="shared" si="32"/>
        <v>#DIV/0!</v>
      </c>
      <c r="K68" s="24" t="e">
        <f t="shared" si="32"/>
        <v>#DIV/0!</v>
      </c>
      <c r="L68" s="24" t="e">
        <f t="shared" si="32"/>
        <v>#DIV/0!</v>
      </c>
      <c r="M68" s="24" t="e">
        <f t="shared" si="32"/>
        <v>#DIV/0!</v>
      </c>
      <c r="N68" s="24" t="e">
        <f t="shared" si="32"/>
        <v>#DIV/0!</v>
      </c>
      <c r="O68" s="24" t="e">
        <f t="shared" si="32"/>
        <v>#DIV/0!</v>
      </c>
      <c r="P68" s="25" t="e">
        <f t="shared" si="32"/>
        <v>#DIV/0!</v>
      </c>
      <c r="Q68" s="18"/>
      <c r="R68" s="18"/>
      <c r="S68" s="1"/>
      <c r="T68" s="1"/>
      <c r="U68" s="1"/>
      <c r="V68" s="1"/>
      <c r="W68" s="1"/>
      <c r="X68" s="1"/>
      <c r="Y68" s="74"/>
      <c r="Z68" s="74"/>
    </row>
    <row r="69" spans="1:26" ht="15.75" customHeight="1">
      <c r="A69" s="142" t="s">
        <v>28</v>
      </c>
      <c r="B69" s="137"/>
      <c r="C69" s="138"/>
      <c r="D69" s="67" t="e">
        <f t="shared" ref="D69:P69" si="33">IF(SQRT((D64/$B64)^2+(D65/$B65)^2)&gt;2,3,3*SQRT((D64/$B64)^2+(D65/$B65)^2)/2)</f>
        <v>#DIV/0!</v>
      </c>
      <c r="E69" s="67" t="e">
        <f t="shared" si="33"/>
        <v>#DIV/0!</v>
      </c>
      <c r="F69" s="67" t="e">
        <f t="shared" si="33"/>
        <v>#DIV/0!</v>
      </c>
      <c r="G69" s="67" t="e">
        <f t="shared" si="33"/>
        <v>#DIV/0!</v>
      </c>
      <c r="H69" s="67" t="e">
        <f t="shared" si="33"/>
        <v>#DIV/0!</v>
      </c>
      <c r="I69" s="67" t="e">
        <f t="shared" si="33"/>
        <v>#DIV/0!</v>
      </c>
      <c r="J69" s="67" t="e">
        <f t="shared" si="33"/>
        <v>#DIV/0!</v>
      </c>
      <c r="K69" s="67" t="e">
        <f t="shared" si="33"/>
        <v>#DIV/0!</v>
      </c>
      <c r="L69" s="67" t="e">
        <f t="shared" si="33"/>
        <v>#DIV/0!</v>
      </c>
      <c r="M69" s="67" t="e">
        <f t="shared" si="33"/>
        <v>#DIV/0!</v>
      </c>
      <c r="N69" s="67" t="e">
        <f t="shared" si="33"/>
        <v>#DIV/0!</v>
      </c>
      <c r="O69" s="67" t="e">
        <f t="shared" si="33"/>
        <v>#DIV/0!</v>
      </c>
      <c r="P69" s="68" t="e">
        <f t="shared" si="33"/>
        <v>#DIV/0!</v>
      </c>
      <c r="Q69" s="18"/>
      <c r="R69" s="18"/>
      <c r="S69" s="1"/>
      <c r="T69" s="1"/>
      <c r="U69" s="1"/>
      <c r="V69" s="1"/>
      <c r="W69" s="1"/>
      <c r="X69" s="1"/>
      <c r="Y69" s="74"/>
      <c r="Z69" s="74"/>
    </row>
    <row r="70" spans="1:26" ht="16.5" customHeight="1">
      <c r="A70" s="3"/>
      <c r="B70" s="3"/>
      <c r="C70" s="18"/>
      <c r="D70" s="65"/>
      <c r="E70" s="120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"/>
      <c r="V70" s="1"/>
      <c r="W70" s="1"/>
      <c r="X70" s="1"/>
      <c r="Y70" s="1"/>
      <c r="Z70" s="1"/>
    </row>
    <row r="71" spans="1:26" ht="16.5" customHeight="1">
      <c r="A71" s="143" t="s">
        <v>119</v>
      </c>
      <c r="B71" s="144"/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5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2"/>
      <c r="B72" s="3"/>
      <c r="C72" s="4" t="s">
        <v>1</v>
      </c>
      <c r="D72" s="76" t="s">
        <v>2</v>
      </c>
      <c r="E72" s="76" t="s">
        <v>2</v>
      </c>
      <c r="F72" s="76" t="s">
        <v>2</v>
      </c>
      <c r="G72" s="76" t="s">
        <v>2</v>
      </c>
      <c r="H72" s="76" t="s">
        <v>2</v>
      </c>
      <c r="I72" s="76" t="s">
        <v>2</v>
      </c>
      <c r="J72" s="76" t="s">
        <v>2</v>
      </c>
      <c r="K72" s="77" t="s">
        <v>3</v>
      </c>
      <c r="L72" s="77" t="s">
        <v>3</v>
      </c>
      <c r="M72" s="77" t="s">
        <v>3</v>
      </c>
      <c r="N72" s="77" t="s">
        <v>3</v>
      </c>
      <c r="O72" s="77" t="s">
        <v>3</v>
      </c>
      <c r="P72" s="77" t="s">
        <v>3</v>
      </c>
      <c r="Q72" s="77" t="s">
        <v>3</v>
      </c>
      <c r="R72" s="78" t="s">
        <v>4</v>
      </c>
      <c r="S72" s="37"/>
      <c r="T72" s="1"/>
      <c r="U72" s="1"/>
      <c r="V72" s="1"/>
      <c r="W72" s="1"/>
      <c r="X72" s="1"/>
      <c r="Y72" s="1"/>
      <c r="Z72" s="1"/>
    </row>
    <row r="73" spans="1:26" ht="16.5" customHeight="1">
      <c r="A73" s="10" t="s">
        <v>6</v>
      </c>
      <c r="B73" s="11" t="s">
        <v>7</v>
      </c>
      <c r="C73" s="12" t="s">
        <v>8</v>
      </c>
      <c r="D73" s="13" t="s">
        <v>120</v>
      </c>
      <c r="E73" s="14" t="s">
        <v>121</v>
      </c>
      <c r="F73" s="14" t="s">
        <v>122</v>
      </c>
      <c r="G73" s="14" t="s">
        <v>123</v>
      </c>
      <c r="H73" s="14" t="s">
        <v>124</v>
      </c>
      <c r="I73" s="14" t="s">
        <v>125</v>
      </c>
      <c r="J73" s="14" t="s">
        <v>126</v>
      </c>
      <c r="K73" s="14" t="s">
        <v>127</v>
      </c>
      <c r="L73" s="14" t="s">
        <v>128</v>
      </c>
      <c r="M73" s="13" t="s">
        <v>129</v>
      </c>
      <c r="N73" s="14" t="s">
        <v>130</v>
      </c>
      <c r="O73" s="14" t="s">
        <v>131</v>
      </c>
      <c r="P73" s="14" t="s">
        <v>132</v>
      </c>
      <c r="Q73" s="14" t="s">
        <v>133</v>
      </c>
      <c r="R73" s="79" t="s">
        <v>134</v>
      </c>
      <c r="S73" s="57"/>
      <c r="T73" s="1"/>
      <c r="U73" s="1"/>
      <c r="V73" s="1"/>
      <c r="W73" s="1"/>
      <c r="X73" s="1"/>
      <c r="Y73" s="1"/>
      <c r="Z73" s="1"/>
    </row>
    <row r="74" spans="1:26" ht="16.5" customHeight="1">
      <c r="A74" s="15">
        <f>AVERAGE(D74:R74)</f>
        <v>0</v>
      </c>
      <c r="B74" s="16">
        <f>AVERAGE(E74:J74,L74:R74)</f>
        <v>0</v>
      </c>
      <c r="C74" s="4" t="s">
        <v>23</v>
      </c>
      <c r="D74" s="80">
        <f>社福衛環!D15</f>
        <v>0</v>
      </c>
      <c r="E74" s="80">
        <f>社福衛環!F15</f>
        <v>0</v>
      </c>
      <c r="F74" s="80">
        <f>社福衛環!H15</f>
        <v>0</v>
      </c>
      <c r="G74" s="80">
        <f>社福衛環!J15</f>
        <v>0</v>
      </c>
      <c r="H74" s="80">
        <f>社福衛環!L15</f>
        <v>0</v>
      </c>
      <c r="I74" s="80">
        <f>社福衛環!N15</f>
        <v>0</v>
      </c>
      <c r="J74" s="80">
        <f>社福衛環!P15</f>
        <v>0</v>
      </c>
      <c r="K74" s="80">
        <f>社福衛環!R15</f>
        <v>0</v>
      </c>
      <c r="L74" s="80">
        <f>社福衛環!T15</f>
        <v>0</v>
      </c>
      <c r="M74" s="80">
        <f>社福衛環!V15</f>
        <v>0</v>
      </c>
      <c r="N74" s="80">
        <f>社福衛環!X15</f>
        <v>0</v>
      </c>
      <c r="O74" s="80">
        <f>社福衛環!Z15</f>
        <v>0</v>
      </c>
      <c r="P74" s="80">
        <f>社福衛環!AB15</f>
        <v>0</v>
      </c>
      <c r="Q74" s="80">
        <f>社福衛環!AD15</f>
        <v>0</v>
      </c>
      <c r="R74" s="80">
        <f>社福衛環!AF15</f>
        <v>0</v>
      </c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5">
        <f>AVERAGE(D75:R75)</f>
        <v>0</v>
      </c>
      <c r="B75" s="16">
        <f>AVERAGE(E75:J75,L75:R75)</f>
        <v>0</v>
      </c>
      <c r="C75" s="12" t="s">
        <v>24</v>
      </c>
      <c r="D75" s="80">
        <f>社福衛環!E15</f>
        <v>0</v>
      </c>
      <c r="E75" s="80">
        <f>社福衛環!G15</f>
        <v>0</v>
      </c>
      <c r="F75" s="80">
        <f>社福衛環!I15</f>
        <v>0</v>
      </c>
      <c r="G75" s="80">
        <f>社福衛環!K15</f>
        <v>0</v>
      </c>
      <c r="H75" s="80">
        <f>社福衛環!M15</f>
        <v>0</v>
      </c>
      <c r="I75" s="80">
        <f>社福衛環!O15</f>
        <v>0</v>
      </c>
      <c r="J75" s="80">
        <f>社福衛環!Q15</f>
        <v>0</v>
      </c>
      <c r="K75" s="80">
        <f>社福衛環!S15</f>
        <v>0</v>
      </c>
      <c r="L75" s="80">
        <f>社福衛環!U15</f>
        <v>0</v>
      </c>
      <c r="M75" s="80">
        <f>社福衛環!W15</f>
        <v>0</v>
      </c>
      <c r="N75" s="80">
        <f>社福衛環!Y15</f>
        <v>0</v>
      </c>
      <c r="O75" s="80">
        <f>社福衛環!AA15</f>
        <v>0</v>
      </c>
      <c r="P75" s="80">
        <f>社福衛環!AC15</f>
        <v>0</v>
      </c>
      <c r="Q75" s="80">
        <f>' 司法法制'!AA17</f>
        <v>0</v>
      </c>
      <c r="R75" s="80">
        <f>社福衛環!AG15</f>
        <v>0</v>
      </c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46" t="s">
        <v>25</v>
      </c>
      <c r="B76" s="140"/>
      <c r="C76" s="141"/>
      <c r="D76" s="19" t="e">
        <f t="shared" ref="D76:Q76" si="34">IF(SQRT((D74/$A74)^2+(D75/$A75)^2)&gt;2,5,5*SQRT((D74/$A74)^2+(D75/$A75)^2)/2)</f>
        <v>#DIV/0!</v>
      </c>
      <c r="E76" s="19" t="e">
        <f t="shared" si="34"/>
        <v>#DIV/0!</v>
      </c>
      <c r="F76" s="19" t="e">
        <f t="shared" si="34"/>
        <v>#DIV/0!</v>
      </c>
      <c r="G76" s="19" t="e">
        <f t="shared" si="34"/>
        <v>#DIV/0!</v>
      </c>
      <c r="H76" s="19" t="e">
        <f t="shared" si="34"/>
        <v>#DIV/0!</v>
      </c>
      <c r="I76" s="19" t="e">
        <f t="shared" si="34"/>
        <v>#DIV/0!</v>
      </c>
      <c r="J76" s="19" t="e">
        <f t="shared" si="34"/>
        <v>#DIV/0!</v>
      </c>
      <c r="K76" s="19" t="e">
        <f t="shared" si="34"/>
        <v>#DIV/0!</v>
      </c>
      <c r="L76" s="19" t="e">
        <f t="shared" si="34"/>
        <v>#DIV/0!</v>
      </c>
      <c r="M76" s="19" t="e">
        <f t="shared" si="34"/>
        <v>#DIV/0!</v>
      </c>
      <c r="N76" s="19" t="e">
        <f t="shared" si="34"/>
        <v>#DIV/0!</v>
      </c>
      <c r="O76" s="19" t="e">
        <f t="shared" si="34"/>
        <v>#DIV/0!</v>
      </c>
      <c r="P76" s="60" t="e">
        <f t="shared" si="34"/>
        <v>#DIV/0!</v>
      </c>
      <c r="Q76" s="60" t="e">
        <f t="shared" si="34"/>
        <v>#DIV/0!</v>
      </c>
      <c r="R76" s="60" t="e">
        <f>IF(SQRT((R74/$A74)^2+(R75/$A75)^2)&gt;2,5,5*SQRT((R74/$A74)^2+(R75/$A75)^2)/2)</f>
        <v>#DIV/0!</v>
      </c>
      <c r="S76" s="62"/>
      <c r="T76" s="1"/>
      <c r="U76" s="1"/>
      <c r="V76" s="1"/>
      <c r="W76" s="1"/>
      <c r="X76" s="1"/>
      <c r="Y76" s="1"/>
      <c r="Z76" s="1"/>
    </row>
    <row r="77" spans="1:26" ht="16.5" customHeight="1">
      <c r="A77" s="136" t="s">
        <v>26</v>
      </c>
      <c r="B77" s="137"/>
      <c r="C77" s="138"/>
      <c r="D77" s="22" t="e">
        <f t="shared" ref="D77:Q77" si="35">IF(SQRT((D74/$B74)^2+(D75/$B75)^2)&gt;2,5,5*SQRT((D74/$B74)^2+(D75/$B75)^2)/2)</f>
        <v>#DIV/0!</v>
      </c>
      <c r="E77" s="22" t="e">
        <f t="shared" si="35"/>
        <v>#DIV/0!</v>
      </c>
      <c r="F77" s="22" t="e">
        <f t="shared" si="35"/>
        <v>#DIV/0!</v>
      </c>
      <c r="G77" s="22" t="e">
        <f t="shared" si="35"/>
        <v>#DIV/0!</v>
      </c>
      <c r="H77" s="22" t="e">
        <f t="shared" si="35"/>
        <v>#DIV/0!</v>
      </c>
      <c r="I77" s="22" t="e">
        <f t="shared" si="35"/>
        <v>#DIV/0!</v>
      </c>
      <c r="J77" s="22" t="e">
        <f t="shared" si="35"/>
        <v>#DIV/0!</v>
      </c>
      <c r="K77" s="22" t="e">
        <f t="shared" si="35"/>
        <v>#DIV/0!</v>
      </c>
      <c r="L77" s="22" t="e">
        <f t="shared" si="35"/>
        <v>#DIV/0!</v>
      </c>
      <c r="M77" s="22" t="e">
        <f t="shared" si="35"/>
        <v>#DIV/0!</v>
      </c>
      <c r="N77" s="22" t="e">
        <f t="shared" si="35"/>
        <v>#DIV/0!</v>
      </c>
      <c r="O77" s="22" t="e">
        <f t="shared" si="35"/>
        <v>#DIV/0!</v>
      </c>
      <c r="P77" s="22" t="e">
        <f t="shared" si="35"/>
        <v>#DIV/0!</v>
      </c>
      <c r="Q77" s="22" t="e">
        <f t="shared" si="35"/>
        <v>#DIV/0!</v>
      </c>
      <c r="R77" s="22" t="e">
        <f>IF(SQRT((R74/$B74)^2+(R75/$B75)^2)&gt;2,5,5*SQRT((R74/$B74)^2+(R75/$B75)^2)/2)</f>
        <v>#DIV/0!</v>
      </c>
      <c r="S77" s="62"/>
      <c r="T77" s="1"/>
      <c r="U77" s="1"/>
      <c r="V77" s="1"/>
      <c r="W77" s="1"/>
      <c r="X77" s="1"/>
      <c r="Y77" s="1"/>
      <c r="Z77" s="1"/>
    </row>
    <row r="78" spans="1:26" ht="16.5" customHeight="1">
      <c r="A78" s="139" t="s">
        <v>27</v>
      </c>
      <c r="B78" s="140"/>
      <c r="C78" s="141"/>
      <c r="D78" s="24" t="e">
        <f t="shared" ref="D78:R78" si="36">IF(SQRT((D74/$A74)^2+(D75/$A75)^2)&gt;2,3,3*SQRT((D74/$A74)^2+(D75/$A75)^2)/2)</f>
        <v>#DIV/0!</v>
      </c>
      <c r="E78" s="24" t="e">
        <f t="shared" si="36"/>
        <v>#DIV/0!</v>
      </c>
      <c r="F78" s="24" t="e">
        <f t="shared" si="36"/>
        <v>#DIV/0!</v>
      </c>
      <c r="G78" s="24" t="e">
        <f t="shared" si="36"/>
        <v>#DIV/0!</v>
      </c>
      <c r="H78" s="24" t="e">
        <f t="shared" si="36"/>
        <v>#DIV/0!</v>
      </c>
      <c r="I78" s="24" t="e">
        <f t="shared" si="36"/>
        <v>#DIV/0!</v>
      </c>
      <c r="J78" s="24" t="e">
        <f t="shared" si="36"/>
        <v>#DIV/0!</v>
      </c>
      <c r="K78" s="24" t="e">
        <f t="shared" si="36"/>
        <v>#DIV/0!</v>
      </c>
      <c r="L78" s="24" t="e">
        <f t="shared" si="36"/>
        <v>#DIV/0!</v>
      </c>
      <c r="M78" s="24" t="e">
        <f t="shared" si="36"/>
        <v>#DIV/0!</v>
      </c>
      <c r="N78" s="24" t="e">
        <f t="shared" si="36"/>
        <v>#DIV/0!</v>
      </c>
      <c r="O78" s="63" t="e">
        <f t="shared" si="36"/>
        <v>#DIV/0!</v>
      </c>
      <c r="P78" s="63" t="e">
        <f t="shared" si="36"/>
        <v>#DIV/0!</v>
      </c>
      <c r="Q78" s="63" t="e">
        <f t="shared" si="36"/>
        <v>#DIV/0!</v>
      </c>
      <c r="R78" s="64" t="e">
        <f t="shared" si="36"/>
        <v>#DIV/0!</v>
      </c>
      <c r="S78" s="62"/>
      <c r="T78" s="1"/>
      <c r="U78" s="1"/>
      <c r="V78" s="1"/>
      <c r="W78" s="1"/>
      <c r="X78" s="1"/>
      <c r="Y78" s="1"/>
      <c r="Z78" s="1"/>
    </row>
    <row r="79" spans="1:26" ht="17.25" customHeight="1">
      <c r="A79" s="142" t="s">
        <v>28</v>
      </c>
      <c r="B79" s="137"/>
      <c r="C79" s="138"/>
      <c r="D79" s="26" t="e">
        <f t="shared" ref="D79:R79" si="37">IF(SQRT((D74/$B74)^2+(D75/$B75)^2)&gt;2,3,3*SQRT((D74/$B74)^2+(D75/$B75)^2)/2)</f>
        <v>#DIV/0!</v>
      </c>
      <c r="E79" s="26" t="e">
        <f t="shared" si="37"/>
        <v>#DIV/0!</v>
      </c>
      <c r="F79" s="26" t="e">
        <f t="shared" si="37"/>
        <v>#DIV/0!</v>
      </c>
      <c r="G79" s="26" t="e">
        <f t="shared" si="37"/>
        <v>#DIV/0!</v>
      </c>
      <c r="H79" s="26" t="e">
        <f t="shared" si="37"/>
        <v>#DIV/0!</v>
      </c>
      <c r="I79" s="26" t="e">
        <f t="shared" si="37"/>
        <v>#DIV/0!</v>
      </c>
      <c r="J79" s="26" t="e">
        <f t="shared" si="37"/>
        <v>#DIV/0!</v>
      </c>
      <c r="K79" s="26" t="e">
        <f t="shared" si="37"/>
        <v>#DIV/0!</v>
      </c>
      <c r="L79" s="26" t="e">
        <f t="shared" si="37"/>
        <v>#DIV/0!</v>
      </c>
      <c r="M79" s="26" t="e">
        <f t="shared" si="37"/>
        <v>#DIV/0!</v>
      </c>
      <c r="N79" s="26" t="e">
        <f t="shared" si="37"/>
        <v>#DIV/0!</v>
      </c>
      <c r="O79" s="26" t="e">
        <f t="shared" si="37"/>
        <v>#DIV/0!</v>
      </c>
      <c r="P79" s="26" t="e">
        <f t="shared" si="37"/>
        <v>#DIV/0!</v>
      </c>
      <c r="Q79" s="26" t="e">
        <f t="shared" si="37"/>
        <v>#DIV/0!</v>
      </c>
      <c r="R79" s="27" t="e">
        <f t="shared" si="37"/>
        <v>#DIV/0!</v>
      </c>
      <c r="S79" s="62"/>
      <c r="T79" s="1"/>
      <c r="U79" s="1"/>
      <c r="V79" s="1"/>
      <c r="W79" s="1"/>
      <c r="X79" s="1"/>
      <c r="Y79" s="1"/>
      <c r="Z79" s="1"/>
    </row>
    <row r="80" spans="1:26" ht="16.5" customHeight="1">
      <c r="A80" s="3"/>
      <c r="B80" s="3"/>
      <c r="C80" s="1"/>
      <c r="D80" s="81"/>
      <c r="E80" s="8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3"/>
      <c r="B81" s="3"/>
      <c r="C81" s="1"/>
      <c r="D81" s="81"/>
      <c r="E81" s="8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3"/>
      <c r="B82" s="3"/>
      <c r="C82" s="1"/>
      <c r="D82" s="81"/>
      <c r="E82" s="8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3"/>
      <c r="B83" s="3"/>
      <c r="C83" s="1"/>
      <c r="D83" s="81"/>
      <c r="E83" s="8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3"/>
      <c r="B84" s="3"/>
      <c r="C84" s="1"/>
      <c r="D84" s="81"/>
      <c r="E84" s="8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3"/>
      <c r="B85" s="3"/>
      <c r="C85" s="1"/>
      <c r="D85" s="81"/>
      <c r="E85" s="8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3"/>
      <c r="B86" s="3"/>
      <c r="C86" s="1"/>
      <c r="D86" s="81"/>
      <c r="E86" s="8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3"/>
      <c r="B87" s="3"/>
      <c r="C87" s="1"/>
      <c r="D87" s="81"/>
      <c r="E87" s="8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3"/>
      <c r="B88" s="3"/>
      <c r="C88" s="1"/>
      <c r="D88" s="81"/>
      <c r="E88" s="8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3"/>
      <c r="B89" s="3"/>
      <c r="C89" s="1"/>
      <c r="D89" s="81"/>
      <c r="E89" s="8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3"/>
      <c r="B90" s="3"/>
      <c r="C90" s="1"/>
      <c r="D90" s="81"/>
      <c r="E90" s="8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3"/>
      <c r="B91" s="3"/>
      <c r="C91" s="1"/>
      <c r="D91" s="81"/>
      <c r="E91" s="8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3"/>
      <c r="B92" s="3"/>
      <c r="C92" s="1"/>
      <c r="D92" s="81"/>
      <c r="E92" s="8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3"/>
      <c r="B93" s="3"/>
      <c r="C93" s="1"/>
      <c r="D93" s="81"/>
      <c r="E93" s="8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3"/>
      <c r="B94" s="3"/>
      <c r="C94" s="1"/>
      <c r="D94" s="81"/>
      <c r="E94" s="8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3"/>
      <c r="B95" s="3"/>
      <c r="C95" s="1"/>
      <c r="D95" s="81"/>
      <c r="E95" s="8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3"/>
      <c r="B96" s="3"/>
      <c r="C96" s="1"/>
      <c r="D96" s="81"/>
      <c r="E96" s="8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3"/>
      <c r="B97" s="3"/>
      <c r="C97" s="1"/>
      <c r="D97" s="81"/>
      <c r="E97" s="8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3"/>
      <c r="B98" s="3"/>
      <c r="C98" s="1"/>
      <c r="D98" s="81"/>
      <c r="E98" s="8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3"/>
      <c r="B99" s="3"/>
      <c r="C99" s="1"/>
      <c r="D99" s="81"/>
      <c r="E99" s="8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3"/>
      <c r="B100" s="3"/>
      <c r="C100" s="1"/>
      <c r="D100" s="81"/>
      <c r="E100" s="8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3"/>
      <c r="B101" s="3"/>
      <c r="C101" s="1"/>
      <c r="D101" s="81"/>
      <c r="E101" s="8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3"/>
      <c r="B102" s="3"/>
      <c r="C102" s="1"/>
      <c r="D102" s="81"/>
      <c r="E102" s="8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3"/>
      <c r="B103" s="3"/>
      <c r="C103" s="1"/>
      <c r="D103" s="81"/>
      <c r="E103" s="8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3"/>
      <c r="B104" s="3"/>
      <c r="C104" s="1"/>
      <c r="D104" s="81"/>
      <c r="E104" s="8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3"/>
      <c r="B105" s="3"/>
      <c r="C105" s="1"/>
      <c r="D105" s="81"/>
      <c r="E105" s="8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>
      <c r="A106" s="3"/>
      <c r="B106" s="3"/>
      <c r="C106" s="1"/>
      <c r="D106" s="81"/>
      <c r="E106" s="8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>
      <c r="A107" s="3"/>
      <c r="B107" s="3"/>
      <c r="C107" s="1"/>
      <c r="D107" s="81"/>
      <c r="E107" s="8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>
      <c r="A108" s="3"/>
      <c r="B108" s="3"/>
      <c r="C108" s="1"/>
      <c r="D108" s="81"/>
      <c r="E108" s="8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>
      <c r="A109" s="3"/>
      <c r="B109" s="3"/>
      <c r="C109" s="1"/>
      <c r="D109" s="81"/>
      <c r="E109" s="8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3"/>
      <c r="B110" s="3"/>
      <c r="C110" s="1"/>
      <c r="D110" s="81"/>
      <c r="E110" s="8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3"/>
      <c r="B111" s="3"/>
      <c r="C111" s="1"/>
      <c r="D111" s="81"/>
      <c r="E111" s="8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3"/>
      <c r="B112" s="3"/>
      <c r="C112" s="1"/>
      <c r="D112" s="81"/>
      <c r="E112" s="8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3"/>
      <c r="B113" s="3"/>
      <c r="C113" s="1"/>
      <c r="D113" s="81"/>
      <c r="E113" s="8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3"/>
      <c r="B114" s="3"/>
      <c r="C114" s="1"/>
      <c r="D114" s="81"/>
      <c r="E114" s="8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3"/>
      <c r="B115" s="3"/>
      <c r="C115" s="1"/>
      <c r="D115" s="81"/>
      <c r="E115" s="8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3"/>
      <c r="B116" s="3"/>
      <c r="C116" s="1"/>
      <c r="D116" s="81"/>
      <c r="E116" s="8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3"/>
      <c r="B117" s="3"/>
      <c r="C117" s="1"/>
      <c r="D117" s="81"/>
      <c r="E117" s="8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3"/>
      <c r="B118" s="3"/>
      <c r="C118" s="1"/>
      <c r="D118" s="81"/>
      <c r="E118" s="8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3"/>
      <c r="B119" s="3"/>
      <c r="C119" s="1"/>
      <c r="D119" s="81"/>
      <c r="E119" s="8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3"/>
      <c r="B120" s="3"/>
      <c r="C120" s="1"/>
      <c r="D120" s="81"/>
      <c r="E120" s="8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3"/>
      <c r="B121" s="3"/>
      <c r="C121" s="1"/>
      <c r="D121" s="81"/>
      <c r="E121" s="8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3"/>
      <c r="B122" s="3"/>
      <c r="C122" s="1"/>
      <c r="D122" s="81"/>
      <c r="E122" s="8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3"/>
      <c r="B123" s="3"/>
      <c r="C123" s="1"/>
      <c r="D123" s="81"/>
      <c r="E123" s="8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3"/>
      <c r="B124" s="3"/>
      <c r="C124" s="1"/>
      <c r="D124" s="81"/>
      <c r="E124" s="8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3"/>
      <c r="B125" s="3"/>
      <c r="C125" s="1"/>
      <c r="D125" s="81"/>
      <c r="E125" s="8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3"/>
      <c r="B126" s="3"/>
      <c r="C126" s="1"/>
      <c r="D126" s="81"/>
      <c r="E126" s="8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3"/>
      <c r="B127" s="3"/>
      <c r="C127" s="1"/>
      <c r="D127" s="81"/>
      <c r="E127" s="8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3"/>
      <c r="B128" s="3"/>
      <c r="C128" s="1"/>
      <c r="D128" s="81"/>
      <c r="E128" s="8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>
      <c r="A129" s="3"/>
      <c r="B129" s="3"/>
      <c r="C129" s="1"/>
      <c r="D129" s="81"/>
      <c r="E129" s="8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>
      <c r="A130" s="3"/>
      <c r="B130" s="3"/>
      <c r="C130" s="1"/>
      <c r="D130" s="81"/>
      <c r="E130" s="8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3"/>
      <c r="B131" s="3"/>
      <c r="C131" s="1"/>
      <c r="D131" s="81"/>
      <c r="E131" s="8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3"/>
      <c r="B132" s="3"/>
      <c r="C132" s="1"/>
      <c r="D132" s="81"/>
      <c r="E132" s="8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>
      <c r="A133" s="3"/>
      <c r="B133" s="3"/>
      <c r="C133" s="1"/>
      <c r="D133" s="81"/>
      <c r="E133" s="8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>
      <c r="A134" s="3"/>
      <c r="B134" s="3"/>
      <c r="C134" s="1"/>
      <c r="D134" s="81"/>
      <c r="E134" s="8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>
      <c r="A135" s="3"/>
      <c r="B135" s="3"/>
      <c r="C135" s="1"/>
      <c r="D135" s="81"/>
      <c r="E135" s="8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>
      <c r="A136" s="3"/>
      <c r="B136" s="3"/>
      <c r="C136" s="1"/>
      <c r="D136" s="81"/>
      <c r="E136" s="8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>
      <c r="A137" s="3"/>
      <c r="B137" s="3"/>
      <c r="C137" s="1"/>
      <c r="D137" s="81"/>
      <c r="E137" s="8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>
      <c r="A138" s="3"/>
      <c r="B138" s="3"/>
      <c r="C138" s="1"/>
      <c r="D138" s="81"/>
      <c r="E138" s="8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>
      <c r="A139" s="3"/>
      <c r="B139" s="3"/>
      <c r="C139" s="1"/>
      <c r="D139" s="81"/>
      <c r="E139" s="8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>
      <c r="A140" s="3"/>
      <c r="B140" s="3"/>
      <c r="C140" s="1"/>
      <c r="D140" s="81"/>
      <c r="E140" s="8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>
      <c r="A141" s="3"/>
      <c r="B141" s="3"/>
      <c r="C141" s="1"/>
      <c r="D141" s="81"/>
      <c r="E141" s="8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>
      <c r="A142" s="3"/>
      <c r="B142" s="3"/>
      <c r="C142" s="1"/>
      <c r="D142" s="81"/>
      <c r="E142" s="8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>
      <c r="A143" s="3"/>
      <c r="B143" s="3"/>
      <c r="C143" s="1"/>
      <c r="D143" s="81"/>
      <c r="E143" s="8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>
      <c r="A144" s="3"/>
      <c r="B144" s="3"/>
      <c r="C144" s="1"/>
      <c r="D144" s="81"/>
      <c r="E144" s="8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>
      <c r="A145" s="3"/>
      <c r="B145" s="3"/>
      <c r="C145" s="1"/>
      <c r="D145" s="81"/>
      <c r="E145" s="8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>
      <c r="A146" s="3"/>
      <c r="B146" s="3"/>
      <c r="C146" s="1"/>
      <c r="D146" s="81"/>
      <c r="E146" s="8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>
      <c r="A147" s="3"/>
      <c r="B147" s="3"/>
      <c r="C147" s="1"/>
      <c r="D147" s="81"/>
      <c r="E147" s="8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>
      <c r="A148" s="3"/>
      <c r="B148" s="3"/>
      <c r="C148" s="1"/>
      <c r="D148" s="81"/>
      <c r="E148" s="8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>
      <c r="A149" s="3"/>
      <c r="B149" s="3"/>
      <c r="C149" s="1"/>
      <c r="D149" s="81"/>
      <c r="E149" s="8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>
      <c r="A150" s="3"/>
      <c r="B150" s="3"/>
      <c r="C150" s="1"/>
      <c r="D150" s="81"/>
      <c r="E150" s="8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>
      <c r="A151" s="3"/>
      <c r="B151" s="3"/>
      <c r="C151" s="1"/>
      <c r="D151" s="81"/>
      <c r="E151" s="8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>
      <c r="A152" s="3"/>
      <c r="B152" s="3"/>
      <c r="C152" s="1"/>
      <c r="D152" s="81"/>
      <c r="E152" s="8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>
      <c r="A153" s="3"/>
      <c r="B153" s="3"/>
      <c r="C153" s="1"/>
      <c r="D153" s="81"/>
      <c r="E153" s="8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>
      <c r="A154" s="3"/>
      <c r="B154" s="3"/>
      <c r="C154" s="1"/>
      <c r="D154" s="81"/>
      <c r="E154" s="8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>
      <c r="A155" s="3"/>
      <c r="B155" s="3"/>
      <c r="C155" s="1"/>
      <c r="D155" s="81"/>
      <c r="E155" s="8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>
      <c r="A156" s="3"/>
      <c r="B156" s="3"/>
      <c r="C156" s="1"/>
      <c r="D156" s="81"/>
      <c r="E156" s="8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>
      <c r="A157" s="3"/>
      <c r="B157" s="3"/>
      <c r="C157" s="1"/>
      <c r="D157" s="81"/>
      <c r="E157" s="8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>
      <c r="A158" s="3"/>
      <c r="B158" s="3"/>
      <c r="C158" s="1"/>
      <c r="D158" s="81"/>
      <c r="E158" s="8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>
      <c r="A159" s="3"/>
      <c r="B159" s="3"/>
      <c r="C159" s="1"/>
      <c r="D159" s="81"/>
      <c r="E159" s="8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>
      <c r="A160" s="3"/>
      <c r="B160" s="3"/>
      <c r="C160" s="1"/>
      <c r="D160" s="81"/>
      <c r="E160" s="8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>
      <c r="A161" s="3"/>
      <c r="B161" s="3"/>
      <c r="C161" s="1"/>
      <c r="D161" s="81"/>
      <c r="E161" s="8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>
      <c r="A162" s="3"/>
      <c r="B162" s="3"/>
      <c r="C162" s="1"/>
      <c r="D162" s="81"/>
      <c r="E162" s="8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>
      <c r="A163" s="3"/>
      <c r="B163" s="3"/>
      <c r="C163" s="1"/>
      <c r="D163" s="81"/>
      <c r="E163" s="8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>
      <c r="A164" s="3"/>
      <c r="B164" s="3"/>
      <c r="C164" s="1"/>
      <c r="D164" s="81"/>
      <c r="E164" s="8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>
      <c r="A165" s="3"/>
      <c r="B165" s="3"/>
      <c r="C165" s="1"/>
      <c r="D165" s="81"/>
      <c r="E165" s="8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>
      <c r="A166" s="3"/>
      <c r="B166" s="3"/>
      <c r="C166" s="1"/>
      <c r="D166" s="81"/>
      <c r="E166" s="8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>
      <c r="A167" s="3"/>
      <c r="B167" s="3"/>
      <c r="C167" s="1"/>
      <c r="D167" s="81"/>
      <c r="E167" s="8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>
      <c r="A168" s="3"/>
      <c r="B168" s="3"/>
      <c r="C168" s="1"/>
      <c r="D168" s="81"/>
      <c r="E168" s="8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>
      <c r="A169" s="3"/>
      <c r="B169" s="3"/>
      <c r="C169" s="1"/>
      <c r="D169" s="81"/>
      <c r="E169" s="8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>
      <c r="A170" s="3"/>
      <c r="B170" s="3"/>
      <c r="C170" s="1"/>
      <c r="D170" s="81"/>
      <c r="E170" s="8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>
      <c r="A171" s="3"/>
      <c r="B171" s="3"/>
      <c r="C171" s="1"/>
      <c r="D171" s="81"/>
      <c r="E171" s="8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>
      <c r="A172" s="3"/>
      <c r="B172" s="3"/>
      <c r="C172" s="1"/>
      <c r="D172" s="81"/>
      <c r="E172" s="8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>
      <c r="A173" s="3"/>
      <c r="B173" s="3"/>
      <c r="C173" s="1"/>
      <c r="D173" s="81"/>
      <c r="E173" s="8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>
      <c r="A174" s="3"/>
      <c r="B174" s="3"/>
      <c r="C174" s="1"/>
      <c r="D174" s="81"/>
      <c r="E174" s="8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>
      <c r="A175" s="3"/>
      <c r="B175" s="3"/>
      <c r="C175" s="1"/>
      <c r="D175" s="81"/>
      <c r="E175" s="8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>
      <c r="A176" s="3"/>
      <c r="B176" s="3"/>
      <c r="C176" s="1"/>
      <c r="D176" s="81"/>
      <c r="E176" s="8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>
      <c r="A177" s="3"/>
      <c r="B177" s="3"/>
      <c r="C177" s="1"/>
      <c r="D177" s="81"/>
      <c r="E177" s="8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>
      <c r="A178" s="3"/>
      <c r="B178" s="3"/>
      <c r="C178" s="1"/>
      <c r="D178" s="81"/>
      <c r="E178" s="8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>
      <c r="A179" s="3"/>
      <c r="B179" s="3"/>
      <c r="C179" s="1"/>
      <c r="D179" s="81"/>
      <c r="E179" s="8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>
      <c r="A180" s="3"/>
      <c r="B180" s="3"/>
      <c r="C180" s="1"/>
      <c r="D180" s="81"/>
      <c r="E180" s="8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>
      <c r="A181" s="3"/>
      <c r="B181" s="3"/>
      <c r="C181" s="1"/>
      <c r="D181" s="81"/>
      <c r="E181" s="8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>
      <c r="A182" s="3"/>
      <c r="B182" s="3"/>
      <c r="C182" s="1"/>
      <c r="D182" s="81"/>
      <c r="E182" s="8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>
      <c r="A183" s="3"/>
      <c r="B183" s="3"/>
      <c r="C183" s="1"/>
      <c r="D183" s="81"/>
      <c r="E183" s="8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>
      <c r="A184" s="3"/>
      <c r="B184" s="3"/>
      <c r="C184" s="1"/>
      <c r="D184" s="81"/>
      <c r="E184" s="8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>
      <c r="A185" s="3"/>
      <c r="B185" s="3"/>
      <c r="C185" s="1"/>
      <c r="D185" s="81"/>
      <c r="E185" s="8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>
      <c r="A186" s="3"/>
      <c r="B186" s="3"/>
      <c r="C186" s="1"/>
      <c r="D186" s="81"/>
      <c r="E186" s="8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>
      <c r="A187" s="3"/>
      <c r="B187" s="3"/>
      <c r="C187" s="1"/>
      <c r="D187" s="81"/>
      <c r="E187" s="8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>
      <c r="A188" s="3"/>
      <c r="B188" s="3"/>
      <c r="C188" s="1"/>
      <c r="D188" s="81"/>
      <c r="E188" s="8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>
      <c r="A189" s="3"/>
      <c r="B189" s="3"/>
      <c r="C189" s="1"/>
      <c r="D189" s="81"/>
      <c r="E189" s="8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>
      <c r="A190" s="3"/>
      <c r="B190" s="3"/>
      <c r="C190" s="1"/>
      <c r="D190" s="81"/>
      <c r="E190" s="8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>
      <c r="A191" s="3"/>
      <c r="B191" s="3"/>
      <c r="C191" s="1"/>
      <c r="D191" s="81"/>
      <c r="E191" s="8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>
      <c r="A192" s="3"/>
      <c r="B192" s="3"/>
      <c r="C192" s="1"/>
      <c r="D192" s="81"/>
      <c r="E192" s="8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>
      <c r="A193" s="3"/>
      <c r="B193" s="3"/>
      <c r="C193" s="1"/>
      <c r="D193" s="81"/>
      <c r="E193" s="8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>
      <c r="A194" s="3"/>
      <c r="B194" s="3"/>
      <c r="C194" s="1"/>
      <c r="D194" s="81"/>
      <c r="E194" s="8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>
      <c r="A195" s="3"/>
      <c r="B195" s="3"/>
      <c r="C195" s="1"/>
      <c r="D195" s="81"/>
      <c r="E195" s="8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>
      <c r="A196" s="3"/>
      <c r="B196" s="3"/>
      <c r="C196" s="1"/>
      <c r="D196" s="81"/>
      <c r="E196" s="8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>
      <c r="A197" s="3"/>
      <c r="B197" s="3"/>
      <c r="C197" s="1"/>
      <c r="D197" s="81"/>
      <c r="E197" s="8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>
      <c r="A198" s="3"/>
      <c r="B198" s="3"/>
      <c r="C198" s="1"/>
      <c r="D198" s="81"/>
      <c r="E198" s="8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>
      <c r="A199" s="3"/>
      <c r="B199" s="3"/>
      <c r="C199" s="1"/>
      <c r="D199" s="81"/>
      <c r="E199" s="8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>
      <c r="A200" s="3"/>
      <c r="B200" s="3"/>
      <c r="C200" s="1"/>
      <c r="D200" s="81"/>
      <c r="E200" s="8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>
      <c r="A201" s="3"/>
      <c r="B201" s="3"/>
      <c r="C201" s="1"/>
      <c r="D201" s="81"/>
      <c r="E201" s="8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>
      <c r="A202" s="3"/>
      <c r="B202" s="3"/>
      <c r="C202" s="1"/>
      <c r="D202" s="81"/>
      <c r="E202" s="8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>
      <c r="A203" s="3"/>
      <c r="B203" s="3"/>
      <c r="C203" s="1"/>
      <c r="D203" s="81"/>
      <c r="E203" s="8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>
      <c r="A204" s="3"/>
      <c r="B204" s="3"/>
      <c r="C204" s="1"/>
      <c r="D204" s="81"/>
      <c r="E204" s="8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>
      <c r="A205" s="3"/>
      <c r="B205" s="3"/>
      <c r="C205" s="1"/>
      <c r="D205" s="81"/>
      <c r="E205" s="8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>
      <c r="A206" s="3"/>
      <c r="B206" s="3"/>
      <c r="C206" s="1"/>
      <c r="D206" s="81"/>
      <c r="E206" s="8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>
      <c r="A207" s="3"/>
      <c r="B207" s="3"/>
      <c r="C207" s="1"/>
      <c r="D207" s="81"/>
      <c r="E207" s="8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>
      <c r="A208" s="3"/>
      <c r="B208" s="3"/>
      <c r="C208" s="1"/>
      <c r="D208" s="81"/>
      <c r="E208" s="8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>
      <c r="A209" s="3"/>
      <c r="B209" s="3"/>
      <c r="C209" s="1"/>
      <c r="D209" s="81"/>
      <c r="E209" s="8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>
      <c r="A210" s="3"/>
      <c r="B210" s="3"/>
      <c r="C210" s="1"/>
      <c r="D210" s="81"/>
      <c r="E210" s="8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>
      <c r="A211" s="3"/>
      <c r="B211" s="3"/>
      <c r="C211" s="1"/>
      <c r="D211" s="81"/>
      <c r="E211" s="8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>
      <c r="A212" s="3"/>
      <c r="B212" s="3"/>
      <c r="C212" s="1"/>
      <c r="D212" s="81"/>
      <c r="E212" s="8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>
      <c r="A213" s="3"/>
      <c r="B213" s="3"/>
      <c r="C213" s="1"/>
      <c r="D213" s="81"/>
      <c r="E213" s="8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>
      <c r="A214" s="3"/>
      <c r="B214" s="3"/>
      <c r="C214" s="1"/>
      <c r="D214" s="81"/>
      <c r="E214" s="8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>
      <c r="A215" s="3"/>
      <c r="B215" s="3"/>
      <c r="C215" s="1"/>
      <c r="D215" s="81"/>
      <c r="E215" s="8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>
      <c r="A216" s="3"/>
      <c r="B216" s="3"/>
      <c r="C216" s="1"/>
      <c r="D216" s="81"/>
      <c r="E216" s="8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>
      <c r="A217" s="3"/>
      <c r="B217" s="3"/>
      <c r="C217" s="1"/>
      <c r="D217" s="81"/>
      <c r="E217" s="8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>
      <c r="A218" s="3"/>
      <c r="B218" s="3"/>
      <c r="C218" s="1"/>
      <c r="D218" s="81"/>
      <c r="E218" s="8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>
      <c r="A219" s="3"/>
      <c r="B219" s="3"/>
      <c r="C219" s="1"/>
      <c r="D219" s="81"/>
      <c r="E219" s="8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3"/>
      <c r="B220" s="3"/>
      <c r="C220" s="1"/>
      <c r="D220" s="81"/>
      <c r="E220" s="8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>
      <c r="A221" s="3"/>
      <c r="B221" s="3"/>
      <c r="C221" s="1"/>
      <c r="D221" s="81"/>
      <c r="E221" s="8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>
      <c r="A222" s="3"/>
      <c r="B222" s="3"/>
      <c r="C222" s="1"/>
      <c r="D222" s="81"/>
      <c r="E222" s="8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>
      <c r="A223" s="3"/>
      <c r="B223" s="3"/>
      <c r="C223" s="1"/>
      <c r="D223" s="81"/>
      <c r="E223" s="8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>
      <c r="A224" s="3"/>
      <c r="B224" s="3"/>
      <c r="C224" s="1"/>
      <c r="D224" s="81"/>
      <c r="E224" s="8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>
      <c r="A225" s="3"/>
      <c r="B225" s="3"/>
      <c r="C225" s="1"/>
      <c r="D225" s="81"/>
      <c r="E225" s="8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>
      <c r="A226" s="3"/>
      <c r="B226" s="3"/>
      <c r="C226" s="1"/>
      <c r="D226" s="81"/>
      <c r="E226" s="8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>
      <c r="A227" s="3"/>
      <c r="B227" s="3"/>
      <c r="C227" s="1"/>
      <c r="D227" s="81"/>
      <c r="E227" s="8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>
      <c r="A228" s="3"/>
      <c r="B228" s="3"/>
      <c r="C228" s="1"/>
      <c r="D228" s="81"/>
      <c r="E228" s="8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>
      <c r="A229" s="3"/>
      <c r="B229" s="3"/>
      <c r="C229" s="1"/>
      <c r="D229" s="81"/>
      <c r="E229" s="8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>
      <c r="A230" s="3"/>
      <c r="B230" s="3"/>
      <c r="C230" s="1"/>
      <c r="D230" s="81"/>
      <c r="E230" s="8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>
      <c r="A231" s="3"/>
      <c r="B231" s="3"/>
      <c r="C231" s="1"/>
      <c r="D231" s="81"/>
      <c r="E231" s="8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>
      <c r="A232" s="3"/>
      <c r="B232" s="3"/>
      <c r="C232" s="1"/>
      <c r="D232" s="81"/>
      <c r="E232" s="8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>
      <c r="A233" s="3"/>
      <c r="B233" s="3"/>
      <c r="C233" s="1"/>
      <c r="D233" s="81"/>
      <c r="E233" s="8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>
      <c r="A234" s="3"/>
      <c r="B234" s="3"/>
      <c r="C234" s="1"/>
      <c r="D234" s="81"/>
      <c r="E234" s="8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>
      <c r="A235" s="3"/>
      <c r="B235" s="3"/>
      <c r="C235" s="1"/>
      <c r="D235" s="81"/>
      <c r="E235" s="8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>
      <c r="A236" s="3"/>
      <c r="B236" s="3"/>
      <c r="C236" s="1"/>
      <c r="D236" s="81"/>
      <c r="E236" s="8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>
      <c r="A237" s="3"/>
      <c r="B237" s="3"/>
      <c r="C237" s="1"/>
      <c r="D237" s="81"/>
      <c r="E237" s="8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>
      <c r="A238" s="3"/>
      <c r="B238" s="3"/>
      <c r="C238" s="1"/>
      <c r="D238" s="81"/>
      <c r="E238" s="8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>
      <c r="A239" s="3"/>
      <c r="B239" s="3"/>
      <c r="C239" s="1"/>
      <c r="D239" s="81"/>
      <c r="E239" s="8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>
      <c r="A240" s="3"/>
      <c r="B240" s="3"/>
      <c r="C240" s="1"/>
      <c r="D240" s="81"/>
      <c r="E240" s="8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>
      <c r="A241" s="3"/>
      <c r="B241" s="3"/>
      <c r="C241" s="1"/>
      <c r="D241" s="81"/>
      <c r="E241" s="8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>
      <c r="A242" s="3"/>
      <c r="B242" s="3"/>
      <c r="C242" s="1"/>
      <c r="D242" s="81"/>
      <c r="E242" s="8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>
      <c r="A243" s="3"/>
      <c r="B243" s="3"/>
      <c r="C243" s="1"/>
      <c r="D243" s="81"/>
      <c r="E243" s="8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>
      <c r="A244" s="3"/>
      <c r="B244" s="3"/>
      <c r="C244" s="1"/>
      <c r="D244" s="81"/>
      <c r="E244" s="8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>
      <c r="A245" s="3"/>
      <c r="B245" s="3"/>
      <c r="C245" s="1"/>
      <c r="D245" s="81"/>
      <c r="E245" s="8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>
      <c r="A246" s="3"/>
      <c r="B246" s="3"/>
      <c r="C246" s="1"/>
      <c r="D246" s="81"/>
      <c r="E246" s="8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>
      <c r="A247" s="3"/>
      <c r="B247" s="3"/>
      <c r="C247" s="1"/>
      <c r="D247" s="81"/>
      <c r="E247" s="8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>
      <c r="A248" s="3"/>
      <c r="B248" s="3"/>
      <c r="C248" s="1"/>
      <c r="D248" s="81"/>
      <c r="E248" s="8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>
      <c r="A249" s="3"/>
      <c r="B249" s="3"/>
      <c r="C249" s="1"/>
      <c r="D249" s="81"/>
      <c r="E249" s="8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>
      <c r="A250" s="3"/>
      <c r="B250" s="3"/>
      <c r="C250" s="1"/>
      <c r="D250" s="81"/>
      <c r="E250" s="8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>
      <c r="A251" s="3"/>
      <c r="B251" s="3"/>
      <c r="C251" s="1"/>
      <c r="D251" s="81"/>
      <c r="E251" s="8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>
      <c r="A252" s="3"/>
      <c r="B252" s="3"/>
      <c r="C252" s="1"/>
      <c r="D252" s="81"/>
      <c r="E252" s="8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>
      <c r="A253" s="3"/>
      <c r="B253" s="3"/>
      <c r="C253" s="1"/>
      <c r="D253" s="81"/>
      <c r="E253" s="8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>
      <c r="A254" s="3"/>
      <c r="B254" s="3"/>
      <c r="C254" s="1"/>
      <c r="D254" s="81"/>
      <c r="E254" s="8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>
      <c r="A255" s="3"/>
      <c r="B255" s="3"/>
      <c r="C255" s="1"/>
      <c r="D255" s="81"/>
      <c r="E255" s="8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>
      <c r="A256" s="3"/>
      <c r="B256" s="3"/>
      <c r="C256" s="1"/>
      <c r="D256" s="81"/>
      <c r="E256" s="8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>
      <c r="A257" s="3"/>
      <c r="B257" s="3"/>
      <c r="C257" s="1"/>
      <c r="D257" s="81"/>
      <c r="E257" s="8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>
      <c r="A258" s="3"/>
      <c r="B258" s="3"/>
      <c r="C258" s="1"/>
      <c r="D258" s="81"/>
      <c r="E258" s="8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>
      <c r="A259" s="3"/>
      <c r="B259" s="3"/>
      <c r="C259" s="1"/>
      <c r="D259" s="81"/>
      <c r="E259" s="8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>
      <c r="A260" s="3"/>
      <c r="B260" s="3"/>
      <c r="C260" s="1"/>
      <c r="D260" s="81"/>
      <c r="E260" s="8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>
      <c r="A261" s="3"/>
      <c r="B261" s="3"/>
      <c r="C261" s="1"/>
      <c r="D261" s="81"/>
      <c r="E261" s="8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>
      <c r="A262" s="3"/>
      <c r="B262" s="3"/>
      <c r="C262" s="1"/>
      <c r="D262" s="81"/>
      <c r="E262" s="8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>
      <c r="A263" s="3"/>
      <c r="B263" s="3"/>
      <c r="C263" s="1"/>
      <c r="D263" s="81"/>
      <c r="E263" s="8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>
      <c r="A264" s="3"/>
      <c r="B264" s="3"/>
      <c r="C264" s="1"/>
      <c r="D264" s="81"/>
      <c r="E264" s="8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>
      <c r="A265" s="3"/>
      <c r="B265" s="3"/>
      <c r="C265" s="1"/>
      <c r="D265" s="81"/>
      <c r="E265" s="8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>
      <c r="A266" s="3"/>
      <c r="B266" s="3"/>
      <c r="C266" s="1"/>
      <c r="D266" s="81"/>
      <c r="E266" s="8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>
      <c r="A267" s="3"/>
      <c r="B267" s="3"/>
      <c r="C267" s="1"/>
      <c r="D267" s="81"/>
      <c r="E267" s="8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>
      <c r="A268" s="3"/>
      <c r="B268" s="3"/>
      <c r="C268" s="1"/>
      <c r="D268" s="81"/>
      <c r="E268" s="8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>
      <c r="A269" s="3"/>
      <c r="B269" s="3"/>
      <c r="C269" s="1"/>
      <c r="D269" s="81"/>
      <c r="E269" s="8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>
      <c r="A270" s="3"/>
      <c r="B270" s="3"/>
      <c r="C270" s="1"/>
      <c r="D270" s="81"/>
      <c r="E270" s="8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>
      <c r="A271" s="3"/>
      <c r="B271" s="3"/>
      <c r="C271" s="1"/>
      <c r="D271" s="81"/>
      <c r="E271" s="8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>
      <c r="A272" s="3"/>
      <c r="B272" s="3"/>
      <c r="C272" s="1"/>
      <c r="D272" s="81"/>
      <c r="E272" s="8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>
      <c r="A273" s="3"/>
      <c r="B273" s="3"/>
      <c r="C273" s="1"/>
      <c r="D273" s="81"/>
      <c r="E273" s="8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>
      <c r="A274" s="3"/>
      <c r="B274" s="3"/>
      <c r="C274" s="1"/>
      <c r="D274" s="81"/>
      <c r="E274" s="8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>
      <c r="A275" s="3"/>
      <c r="B275" s="3"/>
      <c r="C275" s="1"/>
      <c r="D275" s="81"/>
      <c r="E275" s="8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>
      <c r="A276" s="3"/>
      <c r="B276" s="3"/>
      <c r="C276" s="1"/>
      <c r="D276" s="81"/>
      <c r="E276" s="8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>
      <c r="A277" s="3"/>
      <c r="B277" s="3"/>
      <c r="C277" s="1"/>
      <c r="D277" s="81"/>
      <c r="E277" s="8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>
      <c r="A278" s="3"/>
      <c r="B278" s="3"/>
      <c r="C278" s="1"/>
      <c r="D278" s="81"/>
      <c r="E278" s="8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>
      <c r="A279" s="3"/>
      <c r="B279" s="3"/>
      <c r="C279" s="1"/>
      <c r="D279" s="81"/>
      <c r="E279" s="8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 spans="1:26" ht="15.75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 spans="1:26" ht="15.75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 spans="1:26" ht="15.75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 spans="1:26" ht="15.75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 spans="1:26" ht="15.75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 spans="1:26" ht="15.75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 spans="1:26" ht="15.75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 spans="1:26" ht="15.75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 spans="1:26" ht="15.75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 spans="1:26" ht="15.75" customHeight="1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 spans="1:26" ht="15.75" customHeight="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 spans="1:26" ht="15.75" customHeight="1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 spans="1:26" ht="15.75" customHeight="1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spans="1:26" ht="15.75" customHeight="1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spans="1:26" ht="15.75" customHeight="1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spans="1:26" ht="15.75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spans="1:26" ht="15.75" customHeight="1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spans="1:26" ht="15.75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spans="1:26" ht="15.75" customHeight="1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spans="1:26" ht="15.75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spans="1:26" ht="15.75" customHeight="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spans="1:26" ht="15.75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spans="1:26" ht="15.75" customHeight="1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spans="1:26" ht="15.75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spans="1:26" ht="15.75" customHeight="1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spans="1:26" ht="15.75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spans="1:26" ht="15.75" customHeight="1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spans="1:26" ht="15.75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spans="1:26" ht="15.75" customHeight="1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spans="1:26" ht="15.75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spans="1:26" ht="15.75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spans="1:26" ht="15.75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spans="1:26" ht="15.75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spans="1:26" ht="15.75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spans="1:26" ht="15.75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spans="1:26" ht="15.75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spans="1:26" ht="15.75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spans="1:26" ht="15.75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spans="1:26" ht="15.75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spans="1:26" ht="15.75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spans="1:26" ht="15.75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spans="1:26" ht="15.75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spans="1:26" ht="15.75" customHeight="1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spans="1:26" ht="15.75" customHeight="1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spans="1:26" ht="15.75" customHeight="1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spans="1:26" ht="15.75" customHeight="1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spans="1:26" ht="15.75" customHeight="1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spans="1:26" ht="15.75" customHeight="1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spans="1:26" ht="15.75" customHeight="1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spans="1:26" ht="15.75" customHeight="1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spans="1:26" ht="15.75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spans="1:26" ht="15.75" customHeight="1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spans="1:26" ht="15.75" customHeight="1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spans="1:26" ht="15.75" customHeight="1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spans="1:26" ht="15.75" customHeight="1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spans="1:26" ht="15.75" customHeight="1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spans="1:26" ht="15.75" customHeigh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spans="1:26" ht="15.75" customHeight="1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spans="1:26" ht="15.75" customHeight="1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spans="1:26" ht="15.75" customHeight="1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spans="1:26" ht="15.75" customHeight="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spans="1:26" ht="15.75" customHeight="1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spans="1:26" ht="15.75" customHeight="1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spans="1:26" ht="15.75" customHeight="1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spans="1:26" ht="15.75" customHeight="1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spans="1:26" ht="15.75" customHeight="1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spans="1:26" ht="15.75" customHeight="1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spans="1:26" ht="15.75" customHeight="1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spans="1:26" ht="15.75" customHeight="1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spans="1:26" ht="15.75" customHeight="1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spans="1:26" ht="15.75" customHeight="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spans="1:26" ht="15.75" customHeight="1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spans="1:26" ht="15.75" customHeight="1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spans="1:26" ht="15.75" customHeight="1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spans="1:26" ht="15.75" customHeight="1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spans="1:26" ht="15.75" customHeight="1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spans="1:26" ht="15.75" customHeight="1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spans="1:26" ht="15.75" customHeight="1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spans="1:26" ht="15.75" customHeight="1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spans="1:26" ht="15.75" customHeight="1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spans="1:26" ht="15.75" customHeight="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spans="1:26" ht="15.75" customHeight="1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spans="1:26" ht="15.75" customHeight="1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spans="1:26" ht="15.75" customHeight="1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spans="1:26" ht="15.75" customHeight="1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spans="1:26" ht="15.75" customHeight="1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spans="1:26" ht="15.75" customHeight="1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spans="1:26" ht="15.75" customHeight="1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spans="1:26" ht="15.75" customHeight="1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spans="1:26" ht="15.75" customHeight="1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spans="1:26" ht="15.75" customHeight="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spans="1:26" ht="15.75" customHeight="1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spans="1:26" ht="15.75" customHeight="1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spans="1:26" ht="15.75" customHeight="1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spans="1:26" ht="15.75" customHeight="1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spans="1:26" ht="15.75" customHeight="1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spans="1:26" ht="15.75" customHeight="1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spans="1:26" ht="15.75" customHeight="1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spans="1:26" ht="15.75" customHeight="1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spans="1:26" ht="15.75" customHeight="1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spans="1:26" ht="15.75" customHeight="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spans="1:26" ht="15.75" customHeight="1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spans="1:26" ht="15.75" customHeight="1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spans="1:26" ht="15.75" customHeight="1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spans="1:26" ht="15.75" customHeight="1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spans="1:26" ht="15.75" customHeight="1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spans="1:26" ht="15.75" customHeight="1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spans="1:26" ht="15.75" customHeight="1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spans="1:26" ht="15.75" customHeight="1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spans="1:26" ht="15.75" customHeight="1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spans="1:26" ht="15.75" customHeight="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spans="1:26" ht="15.75" customHeight="1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spans="1:26" ht="15.75" customHeight="1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spans="1:26" ht="15.75" customHeight="1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spans="1:26" ht="15.75" customHeight="1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spans="1:26" ht="15.75" customHeight="1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spans="1:26" ht="15.75" customHeight="1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spans="1:26" ht="15.75" customHeight="1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spans="1:26" ht="15.75" customHeight="1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spans="1:26" ht="15.75" customHeight="1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spans="1:26" ht="15.75" customHeight="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spans="1:26" ht="15.75" customHeight="1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spans="1:26" ht="15.75" customHeight="1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spans="1:26" ht="15.75" customHeight="1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spans="1:26" ht="15.75" customHeight="1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spans="1:26" ht="15.75" customHeight="1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spans="1:26" ht="15.75" customHeight="1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spans="1:26" ht="15.75" customHeight="1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spans="1:26" ht="15.75" customHeight="1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spans="1:26" ht="15.75" customHeight="1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spans="1:26" ht="15.75" customHeight="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spans="1:26" ht="15.75" customHeight="1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spans="1:26" ht="15.75" customHeight="1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spans="1:26" ht="15.75" customHeight="1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spans="1:26" ht="15.75" customHeight="1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spans="1:26" ht="15.75" customHeight="1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spans="1:26" ht="15.75" customHeight="1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spans="1:26" ht="15.75" customHeight="1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spans="1:26" ht="15.75" customHeight="1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spans="1:26" ht="15.75" customHeight="1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spans="1:26" ht="15.75" customHeight="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spans="1:26" ht="15.75" customHeight="1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spans="1:26" ht="15.75" customHeight="1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spans="1:26" ht="15.75" customHeight="1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spans="1:26" ht="15.75" customHeight="1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spans="1:26" ht="15.75" customHeight="1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spans="1:26" ht="15.75" customHeight="1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spans="1:26" ht="15.75" customHeight="1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spans="1:26" ht="15.75" customHeight="1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spans="1:26" ht="15.75" customHeight="1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spans="1:26" ht="15.75" customHeight="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spans="1:26" ht="15.75" customHeight="1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spans="1:26" ht="15.75" customHeight="1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spans="1:26" ht="15.75" customHeight="1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spans="1:26" ht="15.75" customHeight="1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spans="1:26" ht="15.75" customHeight="1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spans="1:26" ht="15.75" customHeight="1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spans="1:26" ht="15.75" customHeight="1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spans="1:26" ht="15.75" customHeight="1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spans="1:26" ht="15.75" customHeight="1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spans="1:26" ht="15.75" customHeight="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spans="1:26" ht="15.75" customHeight="1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spans="1:26" ht="15.75" customHeight="1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spans="1:26" ht="15.75" customHeight="1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spans="1:26" ht="15.75" customHeight="1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spans="1:26" ht="15.75" customHeight="1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spans="1:26" ht="15.75" customHeight="1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spans="1:26" ht="15.75" customHeight="1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spans="1:26" ht="15.75" customHeight="1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spans="1:26" ht="15.75" customHeight="1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spans="1:26" ht="15.75" customHeight="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spans="1:26" ht="15.75" customHeight="1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spans="1:26" ht="15.75" customHeight="1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spans="1:26" ht="15.75" customHeight="1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spans="1:26" ht="15.75" customHeight="1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spans="1:26" ht="15.75" customHeight="1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spans="1:26" ht="15.75" customHeight="1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spans="1:26" ht="15.75" customHeight="1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spans="1:26" ht="15.75" customHeight="1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spans="1:26" ht="15.75" customHeight="1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spans="1:26" ht="15.75" customHeight="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spans="1:26" ht="15.75" customHeight="1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spans="1:26" ht="15.75" customHeight="1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spans="1:26" ht="15.75" customHeight="1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spans="1:26" ht="15.75" customHeight="1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spans="1:26" ht="15.75" customHeight="1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spans="1:26" ht="15.75" customHeight="1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spans="1:26" ht="15.75" customHeight="1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spans="1:26" ht="15.75" customHeight="1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spans="1:26" ht="15.75" customHeight="1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spans="1:26" ht="15.75" customHeight="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spans="1:26" ht="15.75" customHeight="1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spans="1:26" ht="15.75" customHeight="1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spans="1:26" ht="15.75" customHeight="1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spans="1:26" ht="15.75" customHeight="1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spans="1:26" ht="15.75" customHeight="1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spans="1:26" ht="15.75" customHeight="1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spans="1:26" ht="15.75" customHeight="1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spans="1:26" ht="15.75" customHeight="1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spans="1:26" ht="15.75" customHeight="1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spans="1:26" ht="15.75" customHeight="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spans="1:26" ht="15.75" customHeight="1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spans="1:26" ht="15.75" customHeight="1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spans="1:26" ht="15.75" customHeight="1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spans="1:26" ht="15.75" customHeight="1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spans="1:26" ht="15.75" customHeight="1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spans="1:26" ht="15.75" customHeight="1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spans="1:26" ht="15.75" customHeight="1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spans="1:26" ht="15.75" customHeight="1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spans="1:26" ht="15.75" customHeight="1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spans="1:26" ht="15.75" customHeight="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spans="1:26" ht="15.75" customHeight="1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spans="1:26" ht="15.75" customHeight="1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spans="1:26" ht="15.75" customHeight="1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spans="1:26" ht="15.75" customHeight="1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spans="1:26" ht="15.75" customHeight="1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spans="1:26" ht="15.75" customHeight="1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spans="1:26" ht="15.75" customHeight="1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spans="1:26" ht="15.75" customHeight="1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spans="1:26" ht="15.75" customHeight="1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spans="1:26" ht="15.75" customHeight="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spans="1:26" ht="15.75" customHeight="1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spans="1:26" ht="15.75" customHeight="1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spans="1:26" ht="15.75" customHeight="1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spans="1:26" ht="15.75" customHeight="1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spans="1:26" ht="15.75" customHeight="1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spans="1:26" ht="15.75" customHeight="1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spans="1:26" ht="15.75" customHeight="1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spans="1:26" ht="15.75" customHeight="1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spans="1:26" ht="15.75" customHeight="1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spans="1:26" ht="15.75" customHeight="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spans="1:26" ht="15.75" customHeight="1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spans="1:26" ht="15.75" customHeight="1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spans="1:26" ht="15.75" customHeight="1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spans="1:26" ht="15.75" customHeight="1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spans="1:26" ht="15.75" customHeight="1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spans="1:26" ht="15.75" customHeight="1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spans="1:26" ht="15.75" customHeight="1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spans="1:26" ht="15.75" customHeight="1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spans="1:26" ht="15.75" customHeight="1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spans="1:26" ht="15.75" customHeight="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spans="1:26" ht="15.75" customHeight="1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spans="1:26" ht="15.75" customHeight="1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spans="1:26" ht="15.75" customHeight="1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spans="1:26" ht="15.75" customHeight="1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spans="1:26" ht="15.75" customHeight="1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spans="1:26" ht="15.75" customHeight="1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spans="1:26" ht="15.75" customHeight="1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spans="1:26" ht="15.75" customHeight="1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spans="1:26" ht="15.75" customHeight="1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spans="1:26" ht="15.75" customHeight="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spans="1:26" ht="15.75" customHeight="1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spans="1:26" ht="15.75" customHeight="1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spans="1:26" ht="15.75" customHeight="1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spans="1:26" ht="15.75" customHeight="1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spans="1:26" ht="15.75" customHeight="1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spans="1:26" ht="15.75" customHeight="1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spans="1:26" ht="15.75" customHeight="1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spans="1:26" ht="15.75" customHeight="1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spans="1:26" ht="15.75" customHeight="1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spans="1:26" ht="15.75" customHeight="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spans="1:26" ht="15.75" customHeight="1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spans="1:26" ht="15.75" customHeight="1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spans="1:26" ht="15.75" customHeight="1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spans="1:26" ht="15.75" customHeight="1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spans="1:26" ht="15.75" customHeight="1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spans="1:26" ht="15.75" customHeight="1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spans="1:26" ht="15.75" customHeight="1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spans="1:26" ht="15.75" customHeight="1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spans="1:26" ht="15.75" customHeight="1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spans="1:26" ht="15.75" customHeight="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spans="1:26" ht="15.75" customHeight="1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spans="1:26" ht="15.75" customHeight="1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spans="1:26" ht="15.75" customHeight="1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spans="1:26" ht="15.75" customHeight="1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spans="1:26" ht="15.75" customHeight="1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spans="1:26" ht="15.75" customHeight="1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spans="1:26" ht="15.75" customHeight="1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spans="1:26" ht="15.75" customHeight="1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spans="1:26" ht="15.75" customHeight="1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spans="1:26" ht="15.75" customHeight="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spans="1:26" ht="15.75" customHeight="1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spans="1:26" ht="15.75" customHeight="1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spans="1:26" ht="15.75" customHeight="1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spans="1:26" ht="15.75" customHeight="1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spans="1:26" ht="15.75" customHeight="1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spans="1:26" ht="15.75" customHeight="1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spans="1:26" ht="15.75" customHeight="1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spans="1:26" ht="15.75" customHeight="1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spans="1:26" ht="15.75" customHeight="1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spans="1:26" ht="15.75" customHeight="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spans="1:26" ht="15.75" customHeight="1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spans="1:26" ht="15.75" customHeight="1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spans="1:26" ht="15.75" customHeight="1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spans="1:26" ht="15.75" customHeight="1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spans="1:26" ht="15.75" customHeight="1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spans="1:26" ht="15.75" customHeight="1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spans="1:26" ht="15.75" customHeight="1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spans="1:26" ht="15.75" customHeight="1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spans="1:26" ht="15.75" customHeight="1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spans="1:26" ht="15.75" customHeight="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spans="1:26" ht="15.75" customHeight="1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spans="1:26" ht="15.75" customHeight="1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spans="1:26" ht="15.75" customHeight="1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spans="1:26" ht="15.75" customHeight="1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spans="1:26" ht="15.75" customHeight="1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spans="1:26" ht="15.75" customHeight="1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spans="1:26" ht="15.75" customHeight="1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spans="1:26" ht="15.75" customHeight="1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spans="1:26" ht="15.75" customHeight="1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spans="1:26" ht="15.75" customHeight="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spans="1:26" ht="15.75" customHeight="1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spans="1:26" ht="15.75" customHeight="1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spans="1:26" ht="15.75" customHeight="1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spans="1:26" ht="15.75" customHeight="1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spans="1:26" ht="15.75" customHeight="1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spans="1:26" ht="15.75" customHeight="1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spans="1:26" ht="15.75" customHeight="1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spans="1:26" ht="15.75" customHeight="1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spans="1:26" ht="15.75" customHeight="1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spans="1:26" ht="15.75" customHeight="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spans="1:26" ht="15.75" customHeight="1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spans="1:26" ht="15.75" customHeight="1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spans="1:26" ht="15.75" customHeight="1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spans="1:26" ht="15.75" customHeight="1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spans="1:26" ht="15.75" customHeight="1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spans="1:26" ht="15.75" customHeight="1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spans="1:26" ht="15.75" customHeight="1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spans="1:26" ht="15.75" customHeight="1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spans="1:26" ht="15.75" customHeight="1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spans="1:26" ht="15.75" customHeight="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spans="1:26" ht="15.75" customHeight="1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spans="1:26" ht="15.75" customHeight="1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spans="1:26" ht="15.75" customHeight="1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spans="1:26" ht="15.75" customHeight="1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spans="1:26" ht="15.75" customHeight="1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spans="1:26" ht="15.75" customHeight="1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spans="1:26" ht="15.75" customHeight="1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spans="1:26" ht="15.75" customHeight="1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spans="1:26" ht="15.75" customHeight="1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spans="1:26" ht="15.75" customHeight="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spans="1:26" ht="15.75" customHeight="1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spans="1:26" ht="15.75" customHeight="1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spans="1:26" ht="15.75" customHeight="1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spans="1:26" ht="15.75" customHeight="1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spans="1:26" ht="15.75" customHeight="1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spans="1:26" ht="15.75" customHeight="1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spans="1:26" ht="15.75" customHeight="1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spans="1:26" ht="15.75" customHeight="1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spans="1:26" ht="15.75" customHeight="1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spans="1:26" ht="15.75" customHeight="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spans="1:26" ht="15.75" customHeight="1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spans="1:26" ht="15.75" customHeight="1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spans="1:26" ht="15.75" customHeight="1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spans="1:26" ht="15.75" customHeight="1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spans="1:26" ht="15.75" customHeight="1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spans="1:26" ht="15.75" customHeight="1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spans="1:26" ht="15.75" customHeight="1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spans="1:26" ht="15.75" customHeight="1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spans="1:26" ht="15.75" customHeight="1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spans="1:26" ht="15.75" customHeight="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spans="1:26" ht="15.75" customHeight="1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spans="1:26" ht="15.75" customHeight="1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spans="1:26" ht="15.75" customHeight="1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spans="1:26" ht="15.75" customHeight="1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spans="1:26" ht="15.75" customHeight="1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spans="1:26" ht="15.75" customHeight="1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spans="1:26" ht="15.75" customHeight="1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spans="1:26" ht="15.75" customHeight="1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spans="1:26" ht="15.75" customHeight="1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spans="1:26" ht="15.75" customHeight="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spans="1:26" ht="15.75" customHeight="1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spans="1:26" ht="15.75" customHeight="1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spans="1:26" ht="15.75" customHeight="1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spans="1:26" ht="15.75" customHeight="1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spans="1:26" ht="15.75" customHeight="1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spans="1:26" ht="15.75" customHeight="1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spans="1:26" ht="15.75" customHeight="1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spans="1:26" ht="15.75" customHeight="1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spans="1:26" ht="15.75" customHeight="1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spans="1:26" ht="15.75" customHeight="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spans="1:26" ht="15.75" customHeight="1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spans="1:26" ht="15.75" customHeight="1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spans="1:26" ht="15.75" customHeight="1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spans="1:26" ht="15.75" customHeight="1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spans="1:26" ht="15.75" customHeight="1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spans="1:26" ht="15.75" customHeight="1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spans="1:26" ht="15.75" customHeight="1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spans="1:26" ht="15.75" customHeight="1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spans="1:26" ht="15.75" customHeight="1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spans="1:26" ht="15.75" customHeight="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spans="1:26" ht="15.75" customHeight="1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spans="1:26" ht="15.75" customHeight="1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spans="1:26" ht="15.75" customHeight="1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spans="1:26" ht="15.75" customHeight="1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spans="1:26" ht="15.75" customHeight="1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spans="1:26" ht="15.75" customHeight="1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spans="1:26" ht="15.75" customHeight="1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spans="1:26" ht="15.75" customHeight="1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spans="1:26" ht="15.75" customHeight="1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spans="1:26" ht="15.75" customHeight="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spans="1:26" ht="15.75" customHeight="1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spans="1:26" ht="15.75" customHeight="1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spans="1:26" ht="15.75" customHeight="1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spans="1:26" ht="15.75" customHeight="1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spans="1:26" ht="15.75" customHeight="1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spans="1:26" ht="15.75" customHeight="1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spans="1:26" ht="15.75" customHeight="1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spans="1:26" ht="15.75" customHeight="1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spans="1:26" ht="15.75" customHeight="1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spans="1:26" ht="15.75" customHeight="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spans="1:26" ht="15.75" customHeight="1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spans="1:26" ht="15.75" customHeight="1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spans="1:26" ht="15.75" customHeight="1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spans="1:26" ht="15.75" customHeight="1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spans="1:26" ht="15.75" customHeight="1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spans="1:26" ht="15.75" customHeight="1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spans="1:26" ht="15.75" customHeight="1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spans="1:26" ht="15.75" customHeight="1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spans="1:26" ht="15.75" customHeight="1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spans="1:26" ht="15.75" customHeight="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spans="1:26" ht="15.75" customHeight="1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spans="1:26" ht="15.75" customHeight="1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spans="1:26" ht="15.75" customHeight="1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spans="1:26" ht="15.75" customHeight="1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spans="1:26" ht="15.75" customHeight="1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spans="1:26" ht="15.75" customHeight="1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spans="1:26" ht="15.75" customHeight="1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spans="1:26" ht="15.75" customHeight="1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spans="1:26" ht="15.75" customHeight="1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spans="1:26" ht="15.75" customHeight="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spans="1:26" ht="15.75" customHeight="1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spans="1:26" ht="15.75" customHeight="1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spans="1:26" ht="15.75" customHeight="1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spans="1:26" ht="15.75" customHeight="1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spans="1:26" ht="15.75" customHeight="1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spans="1:26" ht="15.75" customHeight="1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spans="1:26" ht="15.75" customHeight="1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spans="1:26" ht="15.75" customHeight="1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spans="1:26" ht="15.75" customHeight="1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spans="1:26" ht="15.75" customHeight="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spans="1:26" ht="15.75" customHeight="1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spans="1:26" ht="15.75" customHeight="1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spans="1:26" ht="15.75" customHeight="1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spans="1:26" ht="15.75" customHeight="1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spans="1:26" ht="15.75" customHeight="1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spans="1:26" ht="15.75" customHeight="1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spans="1:26" ht="15.75" customHeight="1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spans="1:26" ht="15.75" customHeight="1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spans="1:26" ht="15.75" customHeight="1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spans="1:26" ht="15.75" customHeight="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spans="1:26" ht="15.75" customHeight="1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spans="1:26" ht="15.75" customHeight="1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spans="1:26" ht="15.75" customHeight="1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spans="1:26" ht="15.75" customHeight="1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spans="1:26" ht="15.75" customHeight="1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spans="1:26" ht="15.75" customHeight="1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spans="1:26" ht="15.75" customHeight="1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spans="1:26" ht="15.75" customHeight="1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spans="1:26" ht="15.75" customHeight="1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spans="1:26" ht="15.75" customHeight="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spans="1:26" ht="15.75" customHeight="1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spans="1:26" ht="15.75" customHeight="1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spans="1:26" ht="15.75" customHeight="1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spans="1:26" ht="15.75" customHeight="1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spans="1:26" ht="15.75" customHeight="1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spans="1:26" ht="15.75" customHeight="1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spans="1:26" ht="15.75" customHeight="1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spans="1:26" ht="15.75" customHeight="1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spans="1:26" ht="15.75" customHeight="1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spans="1:26" ht="15.75" customHeight="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spans="1:26" ht="15.75" customHeight="1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spans="1:26" ht="15.75" customHeight="1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spans="1:26" ht="15.75" customHeight="1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spans="1:26" ht="15.75" customHeight="1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spans="1:26" ht="15.75" customHeight="1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spans="1:26" ht="15.75" customHeight="1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spans="1:26" ht="15.75" customHeight="1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spans="1:26" ht="15.75" customHeight="1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spans="1:26" ht="15.75" customHeight="1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spans="1:26" ht="15.75" customHeight="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spans="1:26" ht="15.75" customHeight="1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spans="1:26" ht="15.75" customHeight="1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spans="1:26" ht="15.75" customHeight="1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spans="1:26" ht="15.75" customHeight="1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spans="1:26" ht="15.75" customHeight="1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spans="1:26" ht="15.75" customHeight="1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spans="1:26" ht="15.75" customHeight="1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spans="1:26" ht="15.75" customHeight="1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spans="1:26" ht="15.75" customHeight="1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spans="1:26" ht="15.75" customHeight="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spans="1:26" ht="15.75" customHeight="1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spans="1:26" ht="15.75" customHeight="1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spans="1:26" ht="15.75" customHeight="1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spans="1:26" ht="15.75" customHeight="1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spans="1:26" ht="15.75" customHeight="1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spans="1:26" ht="15.75" customHeight="1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spans="1:26" ht="15.75" customHeight="1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spans="1:26" ht="15.75" customHeight="1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spans="1:26" ht="15.75" customHeight="1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spans="1:26" ht="15.75" customHeight="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spans="1:26" ht="15.75" customHeight="1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spans="1:26" ht="15.75" customHeight="1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spans="1:26" ht="15.75" customHeight="1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spans="1:26" ht="15.75" customHeight="1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spans="1:26" ht="15.75" customHeight="1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spans="1:26" ht="15.75" customHeight="1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spans="1:26" ht="15.75" customHeight="1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spans="1:26" ht="15.75" customHeight="1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spans="1:26" ht="15.75" customHeight="1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spans="1:26" ht="15.75" customHeight="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spans="1:26" ht="15.75" customHeight="1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spans="1:26" ht="15.75" customHeight="1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spans="1:26" ht="15.75" customHeight="1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spans="1:26" ht="15.75" customHeight="1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spans="1:26" ht="15.75" customHeight="1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spans="1:26" ht="15.75" customHeight="1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spans="1:26" ht="15.75" customHeight="1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spans="1:26" ht="15.75" customHeight="1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spans="1:26" ht="15.75" customHeight="1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spans="1:26" ht="15.75" customHeight="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spans="1:26" ht="15.75" customHeight="1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spans="1:26" ht="15.75" customHeight="1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spans="1:26" ht="15.75" customHeight="1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spans="1:26" ht="15.75" customHeight="1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spans="1:26" ht="15.75" customHeight="1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spans="1:26" ht="15.75" customHeight="1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spans="1:26" ht="15.75" customHeight="1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spans="1:26" ht="15.75" customHeight="1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spans="1:26" ht="15.75" customHeight="1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spans="1:26" ht="15.75" customHeight="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spans="1:26" ht="15.75" customHeight="1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spans="1:26" ht="15.75" customHeight="1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 spans="1:26" ht="15.75" customHeight="1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 spans="1:26" ht="15.75" customHeight="1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 spans="1:26" ht="15.75" customHeight="1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 spans="1:26" ht="15.75" customHeight="1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 spans="1:26" ht="15.75" customHeight="1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 spans="1:26" ht="15.75" customHeight="1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 spans="1:26" ht="15.75" customHeight="1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 spans="1:26" ht="15.75" customHeight="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 spans="1:26" ht="15.75" customHeight="1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 spans="1:26" ht="15.75" customHeight="1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 spans="1:26" ht="15.75" customHeight="1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 spans="1:26" ht="15.75" customHeight="1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 spans="1:26" ht="15.75" customHeight="1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 spans="1:26" ht="15.75" customHeight="1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 spans="1:26" ht="15.75" customHeight="1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 spans="1:26" ht="15.75" customHeight="1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 spans="1:26" ht="15.75" customHeight="1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 spans="1:26" ht="15.75" customHeight="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 spans="1:26" ht="15.75" customHeight="1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 spans="1:26" ht="15.75" customHeight="1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 spans="1:26" ht="15.75" customHeight="1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 spans="1:26" ht="15.75" customHeight="1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 spans="1:26" ht="15.75" customHeight="1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 spans="1:26" ht="15.75" customHeight="1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 spans="1:26" ht="15.75" customHeight="1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 spans="1:26" ht="15.75" customHeight="1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 spans="1:26" ht="15.75" customHeight="1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 spans="1:26" ht="15.75" customHeight="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 spans="1:26" ht="15.75" customHeight="1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 spans="1:26" ht="15.75" customHeight="1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 spans="1:26" ht="15.75" customHeight="1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 spans="1:26" ht="15.75" customHeight="1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 spans="1:26" ht="15.75" customHeight="1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 spans="1:26" ht="15.75" customHeight="1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 spans="1:26" ht="15.75" customHeight="1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 spans="1:26" ht="15.75" customHeight="1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 spans="1:26" ht="15.75" customHeight="1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 spans="1:26" ht="15.75" customHeight="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 spans="1:26" ht="15.75" customHeight="1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 spans="1:26" ht="15.75" customHeight="1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 spans="1:26" ht="15.75" customHeight="1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 spans="1:26" ht="15.75" customHeight="1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 spans="1:26" ht="15.75" customHeight="1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 spans="1:26" ht="15.75" customHeight="1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 spans="1:26" ht="15.75" customHeight="1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 spans="1:26" ht="15.75" customHeight="1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 spans="1:26" ht="15.75" customHeight="1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 spans="1:26" ht="15.75" customHeight="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 spans="1:26" ht="15.75" customHeight="1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 spans="1:26" ht="15.75" customHeight="1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 spans="1:26" ht="15.75" customHeight="1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 spans="1:26" ht="15.75" customHeight="1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 spans="1:26" ht="15.75" customHeight="1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 spans="1:26" ht="15.75" customHeight="1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 spans="1:26" ht="15.75" customHeight="1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 spans="1:26" ht="15.75" customHeight="1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 spans="1:26" ht="15.75" customHeight="1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 spans="1:26" ht="15.75" customHeight="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 spans="1:26" ht="15.75" customHeight="1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 spans="1:26" ht="15.75" customHeight="1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 spans="1:26" ht="15.75" customHeight="1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 spans="1:26" ht="15.75" customHeight="1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 spans="1:26" ht="15.75" customHeight="1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 spans="1:26" ht="15.75" customHeight="1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 spans="1:26" ht="15.75" customHeight="1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 spans="1:26" ht="15.75" customHeight="1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 spans="1:26" ht="15.75" customHeight="1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 spans="1:26" ht="15.75" customHeight="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 spans="1:26" ht="15.75" customHeight="1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 spans="1:26" ht="15.75" customHeight="1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 spans="1:26" ht="15.75" customHeight="1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 spans="1:26" ht="15.75" customHeight="1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 spans="1:26" ht="15.75" customHeight="1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 spans="1:26" ht="15.75" customHeight="1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 spans="1:26" ht="15.75" customHeight="1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 spans="1:26" ht="15.75" customHeight="1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 spans="1:26" ht="15.75" customHeight="1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 spans="1:26" ht="15.75" customHeight="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 spans="1:26" ht="15.75" customHeight="1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 spans="1:26" ht="15.75" customHeight="1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 spans="1:26" ht="15.75" customHeight="1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 spans="1:26" ht="15.75" customHeight="1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 spans="1:26" ht="15.75" customHeight="1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 spans="1:26" ht="15.75" customHeight="1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 spans="1:26" ht="15.75" customHeight="1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 spans="1:26" ht="15.75" customHeight="1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 spans="1:26" ht="15.75" customHeight="1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 spans="1:26" ht="15.75" customHeight="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 spans="1:26" ht="15.75" customHeight="1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 spans="1:26" ht="15.75" customHeight="1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 spans="1:26" ht="15.75" customHeight="1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 spans="1:26" ht="15.75" customHeight="1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 spans="1:26" ht="15.75" customHeight="1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 spans="1:26" ht="15.75" customHeight="1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 spans="1:26" ht="15.75" customHeight="1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 spans="1:26" ht="15.75" customHeight="1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 spans="1:26" ht="15.75" customHeight="1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 spans="1:26" ht="15.75" customHeight="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 spans="1:26" ht="15.75" customHeight="1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 spans="1:26" ht="15.75" customHeight="1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 spans="1:26" ht="15.75" customHeight="1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 spans="1:26" ht="15.75" customHeight="1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 spans="1:26" ht="15.75" customHeight="1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 spans="1:26" ht="15.75" customHeight="1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 spans="1:26" ht="15.75" customHeight="1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 spans="1:26" ht="15.75" customHeight="1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 spans="1:26" ht="15.75" customHeight="1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 spans="1:26" ht="15.75" customHeight="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 spans="1:26" ht="15.75" customHeight="1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 spans="1:26" ht="15.75" customHeight="1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 spans="1:26" ht="15.75" customHeight="1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 spans="1:26" ht="15.75" customHeight="1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 spans="1:26" ht="15.75" customHeight="1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 spans="1:26" ht="15.75" customHeight="1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 spans="1:26" ht="15.75" customHeight="1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 spans="1:26" ht="15.75" customHeight="1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 spans="1:26" ht="15.75" customHeight="1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 spans="1:26" ht="15.75" customHeight="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 spans="1:26" ht="15.75" customHeight="1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 spans="1:26" ht="15.75" customHeight="1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 spans="1:26" ht="15.75" customHeight="1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 spans="1:26" ht="15.75" customHeight="1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 spans="1:26" ht="15.75" customHeight="1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 spans="1:26" ht="15.75" customHeight="1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 spans="1:26" ht="15.75" customHeight="1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 spans="1:26" ht="15.75" customHeight="1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 spans="1:26" ht="15.75" customHeight="1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 spans="1:26" ht="15.75" customHeight="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 spans="1:26" ht="15.75" customHeight="1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 spans="1:26" ht="15.75" customHeight="1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 spans="1:26" ht="15.75" customHeight="1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 spans="1:26" ht="15.75" customHeight="1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 spans="1:26" ht="15.75" customHeight="1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 spans="1:26" ht="15.75" customHeight="1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 spans="1:26" ht="15.75" customHeight="1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 spans="1:26" ht="15.75" customHeight="1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 spans="1:26" ht="15.75" customHeight="1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 spans="1:26" ht="15.75" customHeight="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 spans="1:26" ht="15.75" customHeight="1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 spans="1:26" ht="15.75" customHeight="1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 spans="1:26" ht="15.75" customHeight="1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 spans="1:26" ht="15.75" customHeight="1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 spans="1:26" ht="15.75" customHeight="1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 spans="1:26" ht="15.75" customHeight="1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 spans="1:26" ht="15.75" customHeight="1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 spans="1:26" ht="15.75" customHeight="1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 spans="1:26" ht="15.75" customHeight="1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 spans="1:26" ht="15.75" customHeight="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 spans="1:26" ht="15.75" customHeight="1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 spans="1:26" ht="15.75" customHeight="1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 spans="1:26" ht="15.75" customHeight="1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 spans="1:26" ht="15.75" customHeight="1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 spans="1:26" ht="15.75" customHeight="1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 spans="1:26" ht="15.75" customHeight="1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 spans="1:26" ht="15.75" customHeight="1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 spans="1:26" ht="15.75" customHeight="1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 spans="1:26" ht="15.75" customHeight="1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 spans="1:26" ht="15.75" customHeight="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 spans="1:26" ht="15.75" customHeight="1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spans="1:26" ht="15.75" customHeight="1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 spans="1:26" ht="15.75" customHeight="1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 spans="1:26" ht="15.75" customHeight="1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 spans="1:26" ht="15.75" customHeight="1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 spans="1:26" ht="15.75" customHeight="1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 spans="1:26" ht="15.75" customHeight="1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 spans="1:26" ht="15.75" customHeight="1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 spans="1:26" ht="15.75" customHeight="1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 spans="1:26" ht="15.75" customHeight="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 spans="1:26" ht="15.75" customHeight="1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 spans="1:26" ht="15.75" customHeight="1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 spans="1:26" ht="15.75" customHeight="1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 spans="1:26" ht="15.75" customHeight="1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 spans="1:26" ht="15.75" customHeight="1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 spans="1:26" ht="15.75" customHeight="1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 spans="1:26" ht="15.75" customHeight="1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 spans="1:26" ht="15.75" customHeight="1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 spans="1:26" ht="15.75" customHeight="1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 spans="1:26" ht="15.75" customHeight="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 spans="1:26" ht="15.75" customHeight="1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 spans="1:26" ht="15.75" customHeight="1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 spans="1:26" ht="15.75" customHeight="1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 spans="1:26" ht="15.75" customHeight="1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  <row r="996" spans="1:26" ht="15.75" customHeight="1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</row>
    <row r="997" spans="1:26" ht="15.75" customHeight="1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</row>
    <row r="998" spans="1:26" ht="15.75" customHeight="1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</row>
    <row r="999" spans="1:26" ht="15.75" customHeight="1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</row>
    <row r="1000" spans="1:26" ht="15.75" customHeight="1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</row>
  </sheetData>
  <mergeCells count="40">
    <mergeCell ref="A1:Q1"/>
    <mergeCell ref="A6:C6"/>
    <mergeCell ref="A7:C7"/>
    <mergeCell ref="A8:C8"/>
    <mergeCell ref="A9:C9"/>
    <mergeCell ref="A11:Q11"/>
    <mergeCell ref="A16:C16"/>
    <mergeCell ref="A17:C17"/>
    <mergeCell ref="A18:C18"/>
    <mergeCell ref="A19:C19"/>
    <mergeCell ref="A21:Q21"/>
    <mergeCell ref="A26:C26"/>
    <mergeCell ref="A27:C27"/>
    <mergeCell ref="A28:C28"/>
    <mergeCell ref="A29:C29"/>
    <mergeCell ref="A31:Q31"/>
    <mergeCell ref="A36:C36"/>
    <mergeCell ref="A37:C37"/>
    <mergeCell ref="A38:C38"/>
    <mergeCell ref="A39:C39"/>
    <mergeCell ref="A41:R41"/>
    <mergeCell ref="A46:C46"/>
    <mergeCell ref="A47:C47"/>
    <mergeCell ref="A48:C48"/>
    <mergeCell ref="A49:C49"/>
    <mergeCell ref="A51:R51"/>
    <mergeCell ref="A56:C56"/>
    <mergeCell ref="A57:C57"/>
    <mergeCell ref="A69:C69"/>
    <mergeCell ref="A76:C76"/>
    <mergeCell ref="A77:C77"/>
    <mergeCell ref="A78:C78"/>
    <mergeCell ref="A79:C79"/>
    <mergeCell ref="A58:C58"/>
    <mergeCell ref="A59:C59"/>
    <mergeCell ref="A61:P61"/>
    <mergeCell ref="A66:C66"/>
    <mergeCell ref="A67:C67"/>
    <mergeCell ref="A68:C68"/>
    <mergeCell ref="A71:R71"/>
  </mergeCells>
  <phoneticPr fontId="23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Y1000"/>
  <sheetViews>
    <sheetView tabSelected="1" zoomScale="136" workbookViewId="0">
      <selection activeCell="B9" sqref="B9"/>
    </sheetView>
  </sheetViews>
  <sheetFormatPr baseColWidth="10" defaultColWidth="11.1640625" defaultRowHeight="15" customHeight="1"/>
  <cols>
    <col min="1" max="1" width="14.83203125" customWidth="1"/>
    <col min="2" max="2" width="58.5" customWidth="1"/>
    <col min="3" max="3" width="9.1640625" customWidth="1"/>
    <col min="4" max="4" width="6.5" customWidth="1"/>
    <col min="5" max="5" width="6.1640625" customWidth="1"/>
    <col min="6" max="6" width="6.5" customWidth="1"/>
    <col min="7" max="7" width="6.1640625" customWidth="1"/>
    <col min="8" max="9" width="6.5" customWidth="1"/>
    <col min="10" max="10" width="4.1640625" customWidth="1"/>
    <col min="11" max="11" width="6.1640625" customWidth="1"/>
    <col min="12" max="12" width="6" customWidth="1"/>
    <col min="13" max="13" width="5.5" customWidth="1"/>
    <col min="14" max="14" width="5.6640625" customWidth="1"/>
    <col min="15" max="15" width="6.1640625" customWidth="1"/>
    <col min="16" max="16" width="7.5" customWidth="1"/>
    <col min="17" max="17" width="7.1640625" customWidth="1"/>
    <col min="18" max="18" width="7.5" customWidth="1"/>
    <col min="19" max="19" width="6.6640625" customWidth="1"/>
    <col min="20" max="20" width="7.5" customWidth="1"/>
    <col min="21" max="21" width="7.33203125" customWidth="1"/>
    <col min="22" max="22" width="5.6640625" customWidth="1"/>
    <col min="23" max="23" width="7.1640625" customWidth="1"/>
    <col min="24" max="24" width="5.6640625" customWidth="1"/>
    <col min="25" max="25" width="6.6640625" customWidth="1"/>
    <col min="26" max="26" width="6.83203125" customWidth="1"/>
    <col min="27" max="27" width="7.5" customWidth="1"/>
    <col min="28" max="28" width="6.6640625" customWidth="1"/>
    <col min="29" max="29" width="7.33203125" customWidth="1"/>
    <col min="30" max="30" width="7.6640625" customWidth="1"/>
    <col min="31" max="31" width="6.1640625" customWidth="1"/>
    <col min="32" max="32" width="2.6640625" customWidth="1"/>
    <col min="33" max="33" width="6.33203125" customWidth="1"/>
    <col min="34" max="51" width="5.1640625" customWidth="1"/>
  </cols>
  <sheetData>
    <row r="1" spans="1:51" ht="15.75" customHeight="1">
      <c r="A1" s="131" t="s">
        <v>135</v>
      </c>
      <c r="B1" s="133" t="s">
        <v>136</v>
      </c>
      <c r="C1" s="167" t="s">
        <v>137</v>
      </c>
      <c r="D1" s="169" t="s">
        <v>138</v>
      </c>
      <c r="E1" s="129"/>
      <c r="F1" s="128" t="s">
        <v>138</v>
      </c>
      <c r="G1" s="129"/>
      <c r="H1" s="128" t="s">
        <v>138</v>
      </c>
      <c r="I1" s="129"/>
      <c r="J1" s="128" t="s">
        <v>138</v>
      </c>
      <c r="K1" s="129"/>
      <c r="L1" s="128" t="s">
        <v>138</v>
      </c>
      <c r="M1" s="129"/>
      <c r="N1" s="128" t="s">
        <v>138</v>
      </c>
      <c r="O1" s="129"/>
      <c r="P1" s="128" t="s">
        <v>138</v>
      </c>
      <c r="Q1" s="129"/>
      <c r="R1" s="128" t="s">
        <v>138</v>
      </c>
      <c r="S1" s="129"/>
      <c r="T1" s="128" t="s">
        <v>138</v>
      </c>
      <c r="U1" s="129"/>
      <c r="V1" s="128" t="s">
        <v>138</v>
      </c>
      <c r="W1" s="129"/>
      <c r="X1" s="128" t="s">
        <v>138</v>
      </c>
      <c r="Y1" s="129"/>
      <c r="Z1" s="128" t="s">
        <v>138</v>
      </c>
      <c r="AA1" s="129"/>
      <c r="AB1" s="128" t="s">
        <v>138</v>
      </c>
      <c r="AC1" s="129"/>
      <c r="AD1" s="128" t="s">
        <v>138</v>
      </c>
      <c r="AE1" s="129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</row>
    <row r="2" spans="1:51" ht="16.5" customHeight="1">
      <c r="A2" s="132"/>
      <c r="B2" s="132"/>
      <c r="C2" s="127"/>
      <c r="D2" s="170" t="s">
        <v>2</v>
      </c>
      <c r="E2" s="166"/>
      <c r="F2" s="170" t="s">
        <v>2</v>
      </c>
      <c r="G2" s="166"/>
      <c r="H2" s="170" t="s">
        <v>2</v>
      </c>
      <c r="I2" s="166"/>
      <c r="J2" s="170" t="s">
        <v>2</v>
      </c>
      <c r="K2" s="166"/>
      <c r="L2" s="170" t="s">
        <v>2</v>
      </c>
      <c r="M2" s="166"/>
      <c r="N2" s="170" t="s">
        <v>2</v>
      </c>
      <c r="O2" s="166"/>
      <c r="P2" s="173" t="s">
        <v>3</v>
      </c>
      <c r="Q2" s="166"/>
      <c r="R2" s="173" t="s">
        <v>3</v>
      </c>
      <c r="S2" s="166"/>
      <c r="T2" s="173" t="s">
        <v>3</v>
      </c>
      <c r="U2" s="166"/>
      <c r="V2" s="173" t="s">
        <v>3</v>
      </c>
      <c r="W2" s="166"/>
      <c r="X2" s="173" t="s">
        <v>3</v>
      </c>
      <c r="Y2" s="166"/>
      <c r="Z2" s="173" t="s">
        <v>3</v>
      </c>
      <c r="AA2" s="166"/>
      <c r="AB2" s="171" t="s">
        <v>4</v>
      </c>
      <c r="AC2" s="166"/>
      <c r="AD2" s="172" t="s">
        <v>5</v>
      </c>
      <c r="AE2" s="166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</row>
    <row r="3" spans="1:51" ht="15.75" customHeight="1">
      <c r="A3" s="132"/>
      <c r="B3" s="132"/>
      <c r="C3" s="127"/>
      <c r="D3" s="165" t="s">
        <v>9</v>
      </c>
      <c r="E3" s="166"/>
      <c r="F3" s="165" t="s">
        <v>10</v>
      </c>
      <c r="G3" s="166"/>
      <c r="H3" s="174" t="s">
        <v>11</v>
      </c>
      <c r="I3" s="175"/>
      <c r="J3" s="165" t="s">
        <v>12</v>
      </c>
      <c r="K3" s="166"/>
      <c r="L3" s="165" t="s">
        <v>13</v>
      </c>
      <c r="M3" s="166"/>
      <c r="N3" s="165" t="s">
        <v>14</v>
      </c>
      <c r="O3" s="166"/>
      <c r="P3" s="165" t="s">
        <v>15</v>
      </c>
      <c r="Q3" s="166"/>
      <c r="R3" s="165" t="s">
        <v>16</v>
      </c>
      <c r="S3" s="166"/>
      <c r="T3" s="174" t="s">
        <v>17</v>
      </c>
      <c r="U3" s="175"/>
      <c r="V3" s="165" t="s">
        <v>18</v>
      </c>
      <c r="W3" s="166"/>
      <c r="X3" s="165" t="s">
        <v>19</v>
      </c>
      <c r="Y3" s="166"/>
      <c r="Z3" s="165" t="s">
        <v>20</v>
      </c>
      <c r="AA3" s="166"/>
      <c r="AB3" s="165" t="s">
        <v>21</v>
      </c>
      <c r="AC3" s="166"/>
      <c r="AD3" s="165" t="s">
        <v>22</v>
      </c>
      <c r="AE3" s="166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</row>
    <row r="4" spans="1:51" ht="41.25" customHeight="1">
      <c r="A4" s="132"/>
      <c r="B4" s="132"/>
      <c r="C4" s="168"/>
      <c r="D4" s="85" t="s">
        <v>139</v>
      </c>
      <c r="E4" s="83" t="s">
        <v>140</v>
      </c>
      <c r="F4" s="86" t="s">
        <v>139</v>
      </c>
      <c r="G4" s="83" t="s">
        <v>140</v>
      </c>
      <c r="H4" s="86" t="s">
        <v>139</v>
      </c>
      <c r="I4" s="83" t="s">
        <v>140</v>
      </c>
      <c r="J4" s="86" t="s">
        <v>139</v>
      </c>
      <c r="K4" s="83" t="s">
        <v>140</v>
      </c>
      <c r="L4" s="86" t="s">
        <v>139</v>
      </c>
      <c r="M4" s="83" t="s">
        <v>140</v>
      </c>
      <c r="N4" s="86" t="s">
        <v>139</v>
      </c>
      <c r="O4" s="83" t="s">
        <v>140</v>
      </c>
      <c r="P4" s="86" t="s">
        <v>139</v>
      </c>
      <c r="Q4" s="83" t="s">
        <v>140</v>
      </c>
      <c r="R4" s="86" t="s">
        <v>139</v>
      </c>
      <c r="S4" s="83" t="s">
        <v>140</v>
      </c>
      <c r="T4" s="86" t="s">
        <v>139</v>
      </c>
      <c r="U4" s="83" t="s">
        <v>140</v>
      </c>
      <c r="V4" s="86" t="s">
        <v>139</v>
      </c>
      <c r="W4" s="83" t="s">
        <v>140</v>
      </c>
      <c r="X4" s="86" t="s">
        <v>139</v>
      </c>
      <c r="Y4" s="83" t="s">
        <v>140</v>
      </c>
      <c r="Z4" s="86" t="s">
        <v>139</v>
      </c>
      <c r="AA4" s="83" t="s">
        <v>140</v>
      </c>
      <c r="AB4" s="86" t="s">
        <v>139</v>
      </c>
      <c r="AC4" s="83" t="s">
        <v>140</v>
      </c>
      <c r="AD4" s="86" t="s">
        <v>139</v>
      </c>
      <c r="AE4" s="83" t="s">
        <v>140</v>
      </c>
      <c r="AF4" s="87"/>
      <c r="AG4" s="88"/>
      <c r="AH4" s="88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</row>
    <row r="5" spans="1:51" ht="16.5" customHeight="1">
      <c r="A5" s="89" t="s">
        <v>153</v>
      </c>
      <c r="B5" s="89" t="s">
        <v>152</v>
      </c>
      <c r="C5" s="89" t="s">
        <v>154</v>
      </c>
      <c r="D5" s="103">
        <v>10</v>
      </c>
      <c r="E5" s="103">
        <v>689</v>
      </c>
      <c r="F5" s="103">
        <v>1</v>
      </c>
      <c r="G5" s="103">
        <v>231</v>
      </c>
      <c r="H5" s="103">
        <v>40</v>
      </c>
      <c r="I5" s="103">
        <v>1151</v>
      </c>
      <c r="J5" s="103">
        <v>4</v>
      </c>
      <c r="K5" s="103">
        <v>795</v>
      </c>
      <c r="L5" s="103">
        <v>3</v>
      </c>
      <c r="M5" s="103">
        <v>588</v>
      </c>
      <c r="N5" s="103">
        <v>5</v>
      </c>
      <c r="O5" s="103">
        <v>718</v>
      </c>
      <c r="P5" s="103">
        <v>0</v>
      </c>
      <c r="Q5" s="103">
        <v>0</v>
      </c>
      <c r="R5" s="103">
        <v>0</v>
      </c>
      <c r="S5" s="103">
        <v>0</v>
      </c>
      <c r="T5" s="103">
        <v>0</v>
      </c>
      <c r="U5" s="103">
        <v>0</v>
      </c>
      <c r="V5" s="103">
        <v>1</v>
      </c>
      <c r="W5" s="103">
        <v>278</v>
      </c>
      <c r="X5" s="103">
        <v>4</v>
      </c>
      <c r="Y5" s="103">
        <v>577</v>
      </c>
      <c r="Z5" s="103">
        <v>0</v>
      </c>
      <c r="AA5" s="103">
        <v>0</v>
      </c>
      <c r="AB5" s="103">
        <v>12</v>
      </c>
      <c r="AC5" s="103">
        <v>1621</v>
      </c>
      <c r="AD5" s="103">
        <v>0</v>
      </c>
      <c r="AE5" s="103">
        <v>0</v>
      </c>
      <c r="AF5" s="106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</row>
    <row r="6" spans="1:51" ht="16.5" customHeight="1">
      <c r="A6" s="89"/>
      <c r="B6" s="89"/>
      <c r="C6" s="89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6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</row>
    <row r="7" spans="1:51" ht="16.5" customHeight="1">
      <c r="A7" s="89"/>
      <c r="B7" s="89"/>
      <c r="C7" s="89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6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</row>
    <row r="8" spans="1:51" ht="16.5" customHeight="1">
      <c r="A8" s="89"/>
      <c r="B8" s="89"/>
      <c r="C8" s="89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6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</row>
    <row r="9" spans="1:51" ht="16.5" customHeight="1">
      <c r="A9" s="89"/>
      <c r="B9" s="89"/>
      <c r="C9" s="89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6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</row>
    <row r="10" spans="1:51" ht="16.5" customHeight="1">
      <c r="A10" s="89"/>
      <c r="B10" s="89"/>
      <c r="C10" s="89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6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</row>
    <row r="11" spans="1:51" ht="16.5" customHeight="1">
      <c r="A11" s="89"/>
      <c r="B11" s="89"/>
      <c r="C11" s="89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7"/>
      <c r="AG11" s="88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</row>
    <row r="12" spans="1:51" ht="16.5" customHeight="1">
      <c r="A12" s="89"/>
      <c r="B12" s="89"/>
      <c r="C12" s="89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8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</row>
    <row r="13" spans="1:51" ht="16.5" customHeight="1">
      <c r="A13" s="89"/>
      <c r="B13" s="89"/>
      <c r="C13" s="89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6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</row>
    <row r="14" spans="1:51" ht="16.5" customHeight="1">
      <c r="A14" s="89"/>
      <c r="B14" s="89"/>
      <c r="C14" s="89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6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</row>
    <row r="15" spans="1:51" ht="16.5" customHeight="1">
      <c r="A15" s="89"/>
      <c r="B15" s="89"/>
      <c r="C15" s="89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8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</row>
    <row r="16" spans="1:51" ht="16.5" customHeight="1">
      <c r="A16" s="89"/>
      <c r="B16" s="89"/>
      <c r="C16" s="89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8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</row>
    <row r="17" spans="1:51" ht="16.5" customHeight="1">
      <c r="A17" s="89"/>
      <c r="B17" s="89"/>
      <c r="C17" s="89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8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</row>
    <row r="18" spans="1:51" ht="16.5" customHeight="1">
      <c r="A18" s="89"/>
      <c r="B18" s="89"/>
      <c r="C18" s="89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8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</row>
    <row r="19" spans="1:51" ht="16.5" customHeight="1">
      <c r="A19" s="89"/>
      <c r="B19" s="89"/>
      <c r="C19" s="89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8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</row>
    <row r="20" spans="1:51" ht="16.5" customHeight="1">
      <c r="A20" s="89"/>
      <c r="B20" s="89"/>
      <c r="C20" s="89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8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</row>
    <row r="21" spans="1:51" ht="16.5" customHeight="1">
      <c r="A21" s="89"/>
      <c r="B21" s="89"/>
      <c r="C21" s="89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8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</row>
    <row r="22" spans="1:51" ht="16.5" customHeight="1">
      <c r="A22" s="89"/>
      <c r="B22" s="89"/>
      <c r="C22" s="89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8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</row>
    <row r="23" spans="1:51" ht="18.75" customHeight="1">
      <c r="A23" s="89"/>
      <c r="B23" s="89"/>
      <c r="C23" s="89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8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</row>
    <row r="24" spans="1:51" ht="18.75" customHeight="1">
      <c r="A24" s="89"/>
      <c r="B24" s="89"/>
      <c r="C24" s="89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8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</row>
    <row r="25" spans="1:51" ht="18.75" customHeight="1">
      <c r="A25" s="89"/>
      <c r="B25" s="89"/>
      <c r="C25" s="89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8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</row>
    <row r="26" spans="1:51" ht="16.5" customHeight="1">
      <c r="D26" s="109">
        <f>SUM(D5:D25)</f>
        <v>10</v>
      </c>
      <c r="E26" s="109">
        <f t="shared" ref="E26:AE26" si="0">SUM(E5:E25)</f>
        <v>689</v>
      </c>
      <c r="F26" s="109">
        <f t="shared" si="0"/>
        <v>1</v>
      </c>
      <c r="G26" s="109">
        <f t="shared" si="0"/>
        <v>231</v>
      </c>
      <c r="H26" s="109">
        <f t="shared" si="0"/>
        <v>40</v>
      </c>
      <c r="I26" s="109">
        <f t="shared" si="0"/>
        <v>1151</v>
      </c>
      <c r="J26" s="109">
        <f t="shared" si="0"/>
        <v>4</v>
      </c>
      <c r="K26" s="109">
        <f t="shared" si="0"/>
        <v>795</v>
      </c>
      <c r="L26" s="109">
        <f t="shared" si="0"/>
        <v>3</v>
      </c>
      <c r="M26" s="109">
        <f t="shared" si="0"/>
        <v>588</v>
      </c>
      <c r="N26" s="109">
        <f t="shared" si="0"/>
        <v>5</v>
      </c>
      <c r="O26" s="109">
        <f t="shared" si="0"/>
        <v>718</v>
      </c>
      <c r="P26" s="109">
        <f t="shared" si="0"/>
        <v>0</v>
      </c>
      <c r="Q26" s="109">
        <f t="shared" si="0"/>
        <v>0</v>
      </c>
      <c r="R26" s="109">
        <f t="shared" si="0"/>
        <v>0</v>
      </c>
      <c r="S26" s="109">
        <f t="shared" si="0"/>
        <v>0</v>
      </c>
      <c r="T26" s="109">
        <f t="shared" si="0"/>
        <v>0</v>
      </c>
      <c r="U26" s="109">
        <f t="shared" si="0"/>
        <v>0</v>
      </c>
      <c r="V26" s="109">
        <f t="shared" si="0"/>
        <v>1</v>
      </c>
      <c r="W26" s="109">
        <f t="shared" si="0"/>
        <v>278</v>
      </c>
      <c r="X26" s="109">
        <f t="shared" si="0"/>
        <v>4</v>
      </c>
      <c r="Y26" s="109">
        <f t="shared" si="0"/>
        <v>577</v>
      </c>
      <c r="Z26" s="109">
        <f t="shared" si="0"/>
        <v>0</v>
      </c>
      <c r="AA26" s="109">
        <f t="shared" si="0"/>
        <v>0</v>
      </c>
      <c r="AB26" s="109">
        <f t="shared" si="0"/>
        <v>12</v>
      </c>
      <c r="AC26" s="109">
        <f t="shared" si="0"/>
        <v>1621</v>
      </c>
      <c r="AD26" s="109">
        <f t="shared" si="0"/>
        <v>0</v>
      </c>
      <c r="AE26" s="109">
        <f t="shared" si="0"/>
        <v>0</v>
      </c>
      <c r="AF26" s="108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</row>
    <row r="27" spans="1:51" ht="16.5" customHeight="1">
      <c r="A27" s="74"/>
      <c r="B27" s="74"/>
      <c r="C27" s="74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</row>
    <row r="28" spans="1:51" ht="16.5" customHeight="1">
      <c r="A28" s="74"/>
      <c r="B28" s="74"/>
      <c r="C28" s="74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</row>
    <row r="29" spans="1:51" ht="16.5" customHeight="1">
      <c r="A29" s="74"/>
      <c r="B29" s="74"/>
      <c r="C29" s="74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</row>
    <row r="30" spans="1:51" ht="16.5" customHeight="1">
      <c r="A30" s="74"/>
      <c r="B30" s="74"/>
      <c r="C30" s="74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</row>
    <row r="31" spans="1:51" ht="16.5" customHeight="1">
      <c r="A31" s="74"/>
      <c r="B31" s="74"/>
      <c r="C31" s="74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</row>
    <row r="32" spans="1:51" ht="16.5" customHeight="1">
      <c r="A32" s="74"/>
      <c r="B32" s="74"/>
      <c r="C32" s="74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</row>
    <row r="33" spans="1:51" ht="16.5" customHeight="1">
      <c r="A33" s="74"/>
      <c r="B33" s="74"/>
      <c r="C33" s="74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</row>
    <row r="34" spans="1:51" ht="16.5" customHeight="1">
      <c r="A34" s="74"/>
      <c r="B34" s="74"/>
      <c r="C34" s="74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</row>
    <row r="35" spans="1:51" ht="16.5" customHeight="1">
      <c r="A35" s="74"/>
      <c r="B35" s="74"/>
      <c r="C35" s="74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</row>
    <row r="36" spans="1:51" ht="16.5" customHeight="1">
      <c r="A36" s="74"/>
      <c r="B36" s="74"/>
      <c r="C36" s="74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</row>
    <row r="37" spans="1:51" ht="16.5" customHeight="1">
      <c r="A37" s="74"/>
      <c r="B37" s="74"/>
      <c r="C37" s="74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</row>
    <row r="38" spans="1:51" ht="16.5" customHeight="1">
      <c r="A38" s="74"/>
      <c r="B38" s="74"/>
      <c r="C38" s="74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</row>
    <row r="39" spans="1:51" ht="16.5" customHeight="1">
      <c r="A39" s="74"/>
      <c r="B39" s="74"/>
      <c r="C39" s="74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</row>
    <row r="40" spans="1:51" ht="16.5" customHeight="1">
      <c r="A40" s="74"/>
      <c r="B40" s="74"/>
      <c r="C40" s="74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</row>
    <row r="41" spans="1:51" ht="16.5" customHeight="1">
      <c r="A41" s="74"/>
      <c r="B41" s="74"/>
      <c r="C41" s="74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</row>
    <row r="42" spans="1:51" ht="16.5" customHeight="1">
      <c r="A42" s="74"/>
      <c r="B42" s="74"/>
      <c r="C42" s="74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</row>
    <row r="43" spans="1:51" ht="16.5" customHeight="1">
      <c r="A43" s="74"/>
      <c r="B43" s="74"/>
      <c r="C43" s="74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</row>
    <row r="44" spans="1:51" ht="16.5" customHeight="1">
      <c r="A44" s="74"/>
      <c r="B44" s="74"/>
      <c r="C44" s="74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</row>
    <row r="45" spans="1:51" ht="16.5" customHeight="1">
      <c r="A45" s="74"/>
      <c r="B45" s="74"/>
      <c r="C45" s="74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</row>
    <row r="46" spans="1:51" ht="16.5" customHeight="1">
      <c r="A46" s="74"/>
      <c r="B46" s="74"/>
      <c r="C46" s="74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</row>
    <row r="47" spans="1:51" ht="16.5" customHeight="1">
      <c r="A47" s="74"/>
      <c r="B47" s="74"/>
      <c r="C47" s="74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</row>
    <row r="48" spans="1:51" ht="16.5" customHeight="1">
      <c r="A48" s="74"/>
      <c r="B48" s="74"/>
      <c r="C48" s="74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</row>
    <row r="49" spans="1:51" ht="16.5" customHeight="1">
      <c r="A49" s="74"/>
      <c r="B49" s="74"/>
      <c r="C49" s="74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</row>
    <row r="50" spans="1:51" ht="16.5" customHeight="1">
      <c r="A50" s="74"/>
      <c r="B50" s="74"/>
      <c r="C50" s="74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</row>
    <row r="51" spans="1:51" ht="16.5" customHeight="1">
      <c r="A51" s="74"/>
      <c r="B51" s="74"/>
      <c r="C51" s="74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</row>
    <row r="52" spans="1:51" ht="16.5" customHeight="1">
      <c r="A52" s="74"/>
      <c r="B52" s="74"/>
      <c r="C52" s="74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</row>
    <row r="53" spans="1:51" ht="16.5" customHeight="1">
      <c r="A53" s="74"/>
      <c r="B53" s="74"/>
      <c r="C53" s="74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</row>
    <row r="54" spans="1:51" ht="16.5" customHeight="1">
      <c r="A54" s="74"/>
      <c r="B54" s="74"/>
      <c r="C54" s="74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</row>
    <row r="55" spans="1:51" ht="16.5" customHeight="1">
      <c r="A55" s="74"/>
      <c r="B55" s="74"/>
      <c r="C55" s="74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</row>
    <row r="56" spans="1:51" ht="16.5" customHeight="1">
      <c r="A56" s="74"/>
      <c r="B56" s="74"/>
      <c r="C56" s="74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</row>
    <row r="57" spans="1:51" ht="16.5" customHeight="1">
      <c r="A57" s="74"/>
      <c r="B57" s="74"/>
      <c r="C57" s="74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</row>
    <row r="58" spans="1:51" ht="16.5" customHeight="1">
      <c r="A58" s="74"/>
      <c r="B58" s="74"/>
      <c r="C58" s="74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</row>
    <row r="59" spans="1:51" ht="16.5" customHeight="1">
      <c r="A59" s="74"/>
      <c r="B59" s="74"/>
      <c r="C59" s="74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</row>
    <row r="60" spans="1:51" ht="16.5" customHeight="1">
      <c r="A60" s="74"/>
      <c r="B60" s="74"/>
      <c r="C60" s="74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</row>
    <row r="61" spans="1:51" ht="16.5" customHeight="1">
      <c r="A61" s="74"/>
      <c r="B61" s="74"/>
      <c r="C61" s="74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</row>
    <row r="62" spans="1:51" ht="16.5" customHeight="1">
      <c r="A62" s="74"/>
      <c r="B62" s="74"/>
      <c r="C62" s="74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</row>
    <row r="63" spans="1:51" ht="16.5" customHeight="1">
      <c r="A63" s="74"/>
      <c r="B63" s="74"/>
      <c r="C63" s="74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</row>
    <row r="64" spans="1:51" ht="16.5" customHeight="1">
      <c r="A64" s="74"/>
      <c r="B64" s="74"/>
      <c r="C64" s="74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</row>
    <row r="65" spans="1:51" ht="16.5" customHeight="1">
      <c r="A65" s="74"/>
      <c r="B65" s="74"/>
      <c r="C65" s="74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</row>
    <row r="66" spans="1:51" ht="16.5" customHeight="1">
      <c r="A66" s="74"/>
      <c r="B66" s="74"/>
      <c r="C66" s="74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</row>
    <row r="67" spans="1:51" ht="16.5" customHeight="1">
      <c r="A67" s="74"/>
      <c r="B67" s="74"/>
      <c r="C67" s="74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</row>
    <row r="68" spans="1:51" ht="16.5" customHeight="1">
      <c r="A68" s="74"/>
      <c r="B68" s="74"/>
      <c r="C68" s="74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</row>
    <row r="69" spans="1:51" ht="16.5" customHeight="1">
      <c r="A69" s="74"/>
      <c r="B69" s="74"/>
      <c r="C69" s="74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</row>
    <row r="70" spans="1:51" ht="16.5" customHeight="1">
      <c r="A70" s="74"/>
      <c r="B70" s="74"/>
      <c r="C70" s="74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</row>
    <row r="71" spans="1:51" ht="16.5" customHeight="1">
      <c r="A71" s="74"/>
      <c r="B71" s="74"/>
      <c r="C71" s="74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</row>
    <row r="72" spans="1:51" ht="16.5" customHeight="1">
      <c r="A72" s="74"/>
      <c r="B72" s="74"/>
      <c r="C72" s="74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</row>
    <row r="73" spans="1:51" ht="16.5" customHeight="1">
      <c r="A73" s="74"/>
      <c r="B73" s="74"/>
      <c r="C73" s="74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</row>
    <row r="74" spans="1:51" ht="16.5" customHeight="1">
      <c r="A74" s="74"/>
      <c r="B74" s="74"/>
      <c r="C74" s="74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</row>
    <row r="75" spans="1:51" ht="16.5" customHeight="1">
      <c r="A75" s="74"/>
      <c r="B75" s="74"/>
      <c r="C75" s="74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</row>
    <row r="76" spans="1:51" ht="16.5" customHeight="1">
      <c r="A76" s="74"/>
      <c r="B76" s="74"/>
      <c r="C76" s="74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</row>
    <row r="77" spans="1:51" ht="16.5" customHeight="1">
      <c r="A77" s="74"/>
      <c r="B77" s="74"/>
      <c r="C77" s="74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</row>
    <row r="78" spans="1:51" ht="16.5" customHeight="1">
      <c r="A78" s="74"/>
      <c r="B78" s="74"/>
      <c r="C78" s="74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</row>
    <row r="79" spans="1:51" ht="16.5" customHeight="1">
      <c r="A79" s="74"/>
      <c r="B79" s="74"/>
      <c r="C79" s="74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</row>
    <row r="80" spans="1:51" ht="16.5" customHeight="1">
      <c r="A80" s="74"/>
      <c r="B80" s="74"/>
      <c r="C80" s="74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</row>
    <row r="81" spans="1:51" ht="16.5" customHeight="1">
      <c r="A81" s="74"/>
      <c r="B81" s="74"/>
      <c r="C81" s="74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</row>
    <row r="82" spans="1:51" ht="16.5" customHeight="1">
      <c r="A82" s="74"/>
      <c r="B82" s="74"/>
      <c r="C82" s="74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</row>
    <row r="83" spans="1:51" ht="16.5" customHeight="1">
      <c r="A83" s="74"/>
      <c r="B83" s="74"/>
      <c r="C83" s="74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</row>
    <row r="84" spans="1:51" ht="16.5" customHeight="1">
      <c r="A84" s="74"/>
      <c r="B84" s="74"/>
      <c r="C84" s="74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</row>
    <row r="85" spans="1:51" ht="16.5" customHeight="1">
      <c r="A85" s="74"/>
      <c r="B85" s="74"/>
      <c r="C85" s="74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</row>
    <row r="86" spans="1:51" ht="16.5" customHeight="1">
      <c r="A86" s="74"/>
      <c r="B86" s="74"/>
      <c r="C86" s="74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</row>
    <row r="87" spans="1:51" ht="16.5" customHeight="1">
      <c r="A87" s="74"/>
      <c r="B87" s="74"/>
      <c r="C87" s="74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</row>
    <row r="88" spans="1:51" ht="16.5" customHeight="1">
      <c r="A88" s="74"/>
      <c r="B88" s="74"/>
      <c r="C88" s="74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</row>
    <row r="89" spans="1:51" ht="16.5" customHeight="1">
      <c r="A89" s="74"/>
      <c r="B89" s="74"/>
      <c r="C89" s="74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</row>
    <row r="90" spans="1:51" ht="16.5" customHeight="1">
      <c r="A90" s="74"/>
      <c r="B90" s="74"/>
      <c r="C90" s="74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</row>
    <row r="91" spans="1:51" ht="16.5" customHeight="1">
      <c r="A91" s="74"/>
      <c r="B91" s="74"/>
      <c r="C91" s="74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</row>
    <row r="92" spans="1:51" ht="16.5" customHeight="1">
      <c r="A92" s="74"/>
      <c r="B92" s="74"/>
      <c r="C92" s="74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</row>
    <row r="93" spans="1:51" ht="16.5" customHeight="1">
      <c r="A93" s="74"/>
      <c r="B93" s="74"/>
      <c r="C93" s="74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</row>
    <row r="94" spans="1:51" ht="16.5" customHeight="1">
      <c r="A94" s="74"/>
      <c r="B94" s="74"/>
      <c r="C94" s="74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</row>
    <row r="95" spans="1:51" ht="16.5" customHeight="1">
      <c r="A95" s="74"/>
      <c r="B95" s="74"/>
      <c r="C95" s="74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</row>
    <row r="96" spans="1:51" ht="16.5" customHeight="1">
      <c r="A96" s="74"/>
      <c r="B96" s="74"/>
      <c r="C96" s="74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</row>
    <row r="97" spans="1:51" ht="16.5" customHeight="1">
      <c r="A97" s="74"/>
      <c r="B97" s="74"/>
      <c r="C97" s="74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</row>
    <row r="98" spans="1:51" ht="16.5" customHeight="1">
      <c r="A98" s="74"/>
      <c r="B98" s="74"/>
      <c r="C98" s="74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</row>
    <row r="99" spans="1:51" ht="16.5" customHeight="1">
      <c r="A99" s="74"/>
      <c r="B99" s="74"/>
      <c r="C99" s="74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</row>
    <row r="100" spans="1:51" ht="16.5" customHeight="1">
      <c r="A100" s="74"/>
      <c r="B100" s="74"/>
      <c r="C100" s="74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</row>
    <row r="101" spans="1:51" ht="16.5" customHeight="1">
      <c r="A101" s="74"/>
      <c r="B101" s="74"/>
      <c r="C101" s="74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</row>
    <row r="102" spans="1:51" ht="16.5" customHeight="1">
      <c r="A102" s="74"/>
      <c r="B102" s="74"/>
      <c r="C102" s="74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</row>
    <row r="103" spans="1:51" ht="16.5" customHeight="1">
      <c r="A103" s="74"/>
      <c r="B103" s="74"/>
      <c r="C103" s="74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</row>
    <row r="104" spans="1:51" ht="16.5" customHeight="1">
      <c r="A104" s="74"/>
      <c r="B104" s="74"/>
      <c r="C104" s="74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</row>
    <row r="105" spans="1:51" ht="16.5" customHeight="1">
      <c r="A105" s="74"/>
      <c r="B105" s="74"/>
      <c r="C105" s="74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</row>
    <row r="106" spans="1:51" ht="16.5" customHeight="1">
      <c r="A106" s="74"/>
      <c r="B106" s="74"/>
      <c r="C106" s="74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</row>
    <row r="107" spans="1:51" ht="16.5" customHeight="1">
      <c r="A107" s="74"/>
      <c r="B107" s="74"/>
      <c r="C107" s="74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</row>
    <row r="108" spans="1:51" ht="16.5" customHeight="1">
      <c r="A108" s="74"/>
      <c r="B108" s="74"/>
      <c r="C108" s="74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</row>
    <row r="109" spans="1:51" ht="16.5" customHeight="1">
      <c r="A109" s="74"/>
      <c r="B109" s="74"/>
      <c r="C109" s="74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</row>
    <row r="110" spans="1:51" ht="16.5" customHeight="1">
      <c r="A110" s="74"/>
      <c r="B110" s="74"/>
      <c r="C110" s="74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</row>
    <row r="111" spans="1:51" ht="16.5" customHeight="1">
      <c r="A111" s="74"/>
      <c r="B111" s="74"/>
      <c r="C111" s="74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</row>
    <row r="112" spans="1:51" ht="16.5" customHeight="1">
      <c r="A112" s="74"/>
      <c r="B112" s="74"/>
      <c r="C112" s="74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</row>
    <row r="113" spans="1:51" ht="16.5" customHeight="1">
      <c r="A113" s="74"/>
      <c r="B113" s="74"/>
      <c r="C113" s="74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</row>
    <row r="114" spans="1:51" ht="16.5" customHeight="1">
      <c r="A114" s="74"/>
      <c r="B114" s="74"/>
      <c r="C114" s="74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</row>
    <row r="115" spans="1:51" ht="16.5" customHeight="1">
      <c r="A115" s="74"/>
      <c r="B115" s="74"/>
      <c r="C115" s="74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</row>
    <row r="116" spans="1:51" ht="16.5" customHeight="1">
      <c r="A116" s="74"/>
      <c r="B116" s="74"/>
      <c r="C116" s="74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</row>
    <row r="117" spans="1:51" ht="16.5" customHeight="1">
      <c r="A117" s="74"/>
      <c r="B117" s="74"/>
      <c r="C117" s="74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</row>
    <row r="118" spans="1:51" ht="16.5" customHeight="1">
      <c r="A118" s="74"/>
      <c r="B118" s="74"/>
      <c r="C118" s="74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</row>
    <row r="119" spans="1:51" ht="16.5" customHeight="1">
      <c r="A119" s="74"/>
      <c r="B119" s="74"/>
      <c r="C119" s="74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</row>
    <row r="120" spans="1:51" ht="16.5" customHeight="1">
      <c r="A120" s="74"/>
      <c r="B120" s="74"/>
      <c r="C120" s="74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</row>
    <row r="121" spans="1:51" ht="16.5" customHeight="1">
      <c r="A121" s="74"/>
      <c r="B121" s="74"/>
      <c r="C121" s="74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</row>
    <row r="122" spans="1:51" ht="16.5" customHeight="1">
      <c r="A122" s="74"/>
      <c r="B122" s="74"/>
      <c r="C122" s="74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</row>
    <row r="123" spans="1:51" ht="16.5" customHeight="1">
      <c r="A123" s="74"/>
      <c r="B123" s="74"/>
      <c r="C123" s="74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</row>
    <row r="124" spans="1:51" ht="16.5" customHeight="1">
      <c r="A124" s="74"/>
      <c r="B124" s="74"/>
      <c r="C124" s="74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</row>
    <row r="125" spans="1:51" ht="16.5" customHeight="1">
      <c r="A125" s="74"/>
      <c r="B125" s="74"/>
      <c r="C125" s="74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</row>
    <row r="126" spans="1:51" ht="16.5" customHeight="1">
      <c r="A126" s="74"/>
      <c r="B126" s="74"/>
      <c r="C126" s="74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</row>
    <row r="127" spans="1:51" ht="16.5" customHeight="1">
      <c r="A127" s="74"/>
      <c r="B127" s="74"/>
      <c r="C127" s="74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</row>
    <row r="128" spans="1:51" ht="16.5" customHeight="1">
      <c r="A128" s="74"/>
      <c r="B128" s="74"/>
      <c r="C128" s="74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</row>
    <row r="129" spans="1:51" ht="16.5" customHeight="1">
      <c r="A129" s="74"/>
      <c r="B129" s="74"/>
      <c r="C129" s="74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</row>
    <row r="130" spans="1:51" ht="16.5" customHeight="1">
      <c r="A130" s="74"/>
      <c r="B130" s="74"/>
      <c r="C130" s="74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</row>
    <row r="131" spans="1:51" ht="16.5" customHeight="1">
      <c r="A131" s="74"/>
      <c r="B131" s="74"/>
      <c r="C131" s="74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</row>
    <row r="132" spans="1:51" ht="16.5" customHeight="1">
      <c r="A132" s="74"/>
      <c r="B132" s="74"/>
      <c r="C132" s="74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</row>
    <row r="133" spans="1:51" ht="16.5" customHeight="1">
      <c r="A133" s="74"/>
      <c r="B133" s="74"/>
      <c r="C133" s="74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</row>
    <row r="134" spans="1:51" ht="16.5" customHeight="1">
      <c r="A134" s="74"/>
      <c r="B134" s="74"/>
      <c r="C134" s="74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</row>
    <row r="135" spans="1:51" ht="16.5" customHeight="1">
      <c r="A135" s="74"/>
      <c r="B135" s="74"/>
      <c r="C135" s="74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</row>
    <row r="136" spans="1:51" ht="16.5" customHeight="1">
      <c r="A136" s="74"/>
      <c r="B136" s="74"/>
      <c r="C136" s="74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</row>
    <row r="137" spans="1:51" ht="16.5" customHeight="1">
      <c r="A137" s="74"/>
      <c r="B137" s="74"/>
      <c r="C137" s="74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</row>
    <row r="138" spans="1:51" ht="16.5" customHeight="1">
      <c r="A138" s="74"/>
      <c r="B138" s="74"/>
      <c r="C138" s="74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</row>
    <row r="139" spans="1:51" ht="16.5" customHeight="1">
      <c r="A139" s="74"/>
      <c r="B139" s="74"/>
      <c r="C139" s="74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</row>
    <row r="140" spans="1:51" ht="16.5" customHeight="1">
      <c r="A140" s="74"/>
      <c r="B140" s="74"/>
      <c r="C140" s="74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</row>
    <row r="141" spans="1:51" ht="16.5" customHeight="1">
      <c r="A141" s="74"/>
      <c r="B141" s="74"/>
      <c r="C141" s="74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</row>
    <row r="142" spans="1:51" ht="16.5" customHeight="1">
      <c r="A142" s="74"/>
      <c r="B142" s="74"/>
      <c r="C142" s="74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</row>
    <row r="143" spans="1:51" ht="16.5" customHeight="1">
      <c r="A143" s="74"/>
      <c r="B143" s="74"/>
      <c r="C143" s="74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</row>
    <row r="144" spans="1:51" ht="16.5" customHeight="1">
      <c r="A144" s="74"/>
      <c r="B144" s="74"/>
      <c r="C144" s="74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</row>
    <row r="145" spans="1:51" ht="16.5" customHeight="1">
      <c r="A145" s="74"/>
      <c r="B145" s="74"/>
      <c r="C145" s="74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</row>
    <row r="146" spans="1:51" ht="16.5" customHeight="1">
      <c r="A146" s="74"/>
      <c r="B146" s="74"/>
      <c r="C146" s="74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</row>
    <row r="147" spans="1:51" ht="16.5" customHeight="1">
      <c r="A147" s="74"/>
      <c r="B147" s="74"/>
      <c r="C147" s="74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</row>
    <row r="148" spans="1:51" ht="16.5" customHeight="1">
      <c r="A148" s="74"/>
      <c r="B148" s="74"/>
      <c r="C148" s="74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</row>
    <row r="149" spans="1:51" ht="16.5" customHeight="1">
      <c r="A149" s="74"/>
      <c r="B149" s="74"/>
      <c r="C149" s="74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</row>
    <row r="150" spans="1:51" ht="16.5" customHeight="1">
      <c r="A150" s="74"/>
      <c r="B150" s="74"/>
      <c r="C150" s="74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</row>
    <row r="151" spans="1:51" ht="16.5" customHeight="1">
      <c r="A151" s="74"/>
      <c r="B151" s="74"/>
      <c r="C151" s="74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</row>
    <row r="152" spans="1:51" ht="16.5" customHeight="1">
      <c r="A152" s="74"/>
      <c r="B152" s="74"/>
      <c r="C152" s="74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</row>
    <row r="153" spans="1:51" ht="16.5" customHeight="1">
      <c r="A153" s="74"/>
      <c r="B153" s="74"/>
      <c r="C153" s="74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</row>
    <row r="154" spans="1:51" ht="16.5" customHeight="1">
      <c r="A154" s="74"/>
      <c r="B154" s="74"/>
      <c r="C154" s="74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</row>
    <row r="155" spans="1:51" ht="16.5" customHeight="1">
      <c r="A155" s="74"/>
      <c r="B155" s="74"/>
      <c r="C155" s="74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</row>
    <row r="156" spans="1:51" ht="16.5" customHeight="1">
      <c r="A156" s="74"/>
      <c r="B156" s="74"/>
      <c r="C156" s="74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</row>
    <row r="157" spans="1:51" ht="16.5" customHeight="1">
      <c r="A157" s="74"/>
      <c r="B157" s="74"/>
      <c r="C157" s="74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</row>
    <row r="158" spans="1:51" ht="16.5" customHeight="1">
      <c r="A158" s="74"/>
      <c r="B158" s="74"/>
      <c r="C158" s="74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</row>
    <row r="159" spans="1:51" ht="16.5" customHeight="1">
      <c r="A159" s="74"/>
      <c r="B159" s="74"/>
      <c r="C159" s="74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</row>
    <row r="160" spans="1:51" ht="16.5" customHeight="1">
      <c r="A160" s="74"/>
      <c r="B160" s="74"/>
      <c r="C160" s="74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</row>
    <row r="161" spans="1:51" ht="16.5" customHeight="1">
      <c r="A161" s="74"/>
      <c r="B161" s="74"/>
      <c r="C161" s="74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</row>
    <row r="162" spans="1:51" ht="16.5" customHeight="1">
      <c r="A162" s="74"/>
      <c r="B162" s="74"/>
      <c r="C162" s="74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</row>
    <row r="163" spans="1:51" ht="16.5" customHeight="1">
      <c r="A163" s="74"/>
      <c r="B163" s="74"/>
      <c r="C163" s="74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</row>
    <row r="164" spans="1:51" ht="16.5" customHeight="1">
      <c r="A164" s="74"/>
      <c r="B164" s="74"/>
      <c r="C164" s="74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</row>
    <row r="165" spans="1:51" ht="16.5" customHeight="1">
      <c r="A165" s="74"/>
      <c r="B165" s="74"/>
      <c r="C165" s="74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</row>
    <row r="166" spans="1:51" ht="16.5" customHeight="1">
      <c r="A166" s="74"/>
      <c r="B166" s="74"/>
      <c r="C166" s="74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</row>
    <row r="167" spans="1:51" ht="16.5" customHeight="1">
      <c r="A167" s="74"/>
      <c r="B167" s="74"/>
      <c r="C167" s="74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</row>
    <row r="168" spans="1:51" ht="16.5" customHeight="1">
      <c r="A168" s="74"/>
      <c r="B168" s="74"/>
      <c r="C168" s="74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</row>
    <row r="169" spans="1:51" ht="16.5" customHeight="1">
      <c r="A169" s="74"/>
      <c r="B169" s="74"/>
      <c r="C169" s="74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</row>
    <row r="170" spans="1:51" ht="16.5" customHeight="1">
      <c r="A170" s="74"/>
      <c r="B170" s="74"/>
      <c r="C170" s="74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</row>
    <row r="171" spans="1:51" ht="16.5" customHeight="1">
      <c r="A171" s="74"/>
      <c r="B171" s="74"/>
      <c r="C171" s="74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</row>
    <row r="172" spans="1:51" ht="16.5" customHeight="1">
      <c r="A172" s="74"/>
      <c r="B172" s="74"/>
      <c r="C172" s="74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</row>
    <row r="173" spans="1:51" ht="16.5" customHeight="1">
      <c r="A173" s="74"/>
      <c r="B173" s="74"/>
      <c r="C173" s="74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</row>
    <row r="174" spans="1:51" ht="16.5" customHeight="1">
      <c r="A174" s="74"/>
      <c r="B174" s="74"/>
      <c r="C174" s="74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</row>
    <row r="175" spans="1:51" ht="16.5" customHeight="1">
      <c r="A175" s="74"/>
      <c r="B175" s="74"/>
      <c r="C175" s="74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</row>
    <row r="176" spans="1:51" ht="16.5" customHeight="1">
      <c r="A176" s="74"/>
      <c r="B176" s="74"/>
      <c r="C176" s="74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</row>
    <row r="177" spans="1:51" ht="16.5" customHeight="1">
      <c r="A177" s="74"/>
      <c r="B177" s="74"/>
      <c r="C177" s="74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</row>
    <row r="178" spans="1:51" ht="16.5" customHeight="1">
      <c r="A178" s="74"/>
      <c r="B178" s="74"/>
      <c r="C178" s="74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</row>
    <row r="179" spans="1:51" ht="16.5" customHeight="1">
      <c r="A179" s="74"/>
      <c r="B179" s="74"/>
      <c r="C179" s="74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</row>
    <row r="180" spans="1:51" ht="16.5" customHeight="1">
      <c r="A180" s="74"/>
      <c r="B180" s="74"/>
      <c r="C180" s="74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</row>
    <row r="181" spans="1:51" ht="16.5" customHeight="1">
      <c r="A181" s="74"/>
      <c r="B181" s="74"/>
      <c r="C181" s="74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</row>
    <row r="182" spans="1:51" ht="16.5" customHeight="1">
      <c r="A182" s="74"/>
      <c r="B182" s="74"/>
      <c r="C182" s="74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</row>
    <row r="183" spans="1:51" ht="16.5" customHeight="1">
      <c r="A183" s="74"/>
      <c r="B183" s="74"/>
      <c r="C183" s="74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</row>
    <row r="184" spans="1:51" ht="16.5" customHeight="1">
      <c r="A184" s="74"/>
      <c r="B184" s="74"/>
      <c r="C184" s="74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</row>
    <row r="185" spans="1:51" ht="16.5" customHeight="1">
      <c r="A185" s="74"/>
      <c r="B185" s="74"/>
      <c r="C185" s="74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</row>
    <row r="186" spans="1:51" ht="16.5" customHeight="1">
      <c r="A186" s="74"/>
      <c r="B186" s="74"/>
      <c r="C186" s="74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</row>
    <row r="187" spans="1:51" ht="16.5" customHeight="1">
      <c r="A187" s="74"/>
      <c r="B187" s="74"/>
      <c r="C187" s="74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</row>
    <row r="188" spans="1:51" ht="16.5" customHeight="1">
      <c r="A188" s="74"/>
      <c r="B188" s="74"/>
      <c r="C188" s="74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</row>
    <row r="189" spans="1:51" ht="16.5" customHeight="1">
      <c r="A189" s="74"/>
      <c r="B189" s="74"/>
      <c r="C189" s="74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</row>
    <row r="190" spans="1:51" ht="16.5" customHeight="1">
      <c r="A190" s="74"/>
      <c r="B190" s="74"/>
      <c r="C190" s="74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</row>
    <row r="191" spans="1:51" ht="16.5" customHeight="1">
      <c r="A191" s="74"/>
      <c r="B191" s="74"/>
      <c r="C191" s="74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</row>
    <row r="192" spans="1:51" ht="16.5" customHeight="1">
      <c r="A192" s="74"/>
      <c r="B192" s="74"/>
      <c r="C192" s="74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</row>
    <row r="193" spans="1:51" ht="16.5" customHeight="1">
      <c r="A193" s="74"/>
      <c r="B193" s="74"/>
      <c r="C193" s="74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</row>
    <row r="194" spans="1:51" ht="16.5" customHeight="1">
      <c r="A194" s="74"/>
      <c r="B194" s="74"/>
      <c r="C194" s="74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</row>
    <row r="195" spans="1:51" ht="16.5" customHeight="1">
      <c r="A195" s="74"/>
      <c r="B195" s="74"/>
      <c r="C195" s="74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</row>
    <row r="196" spans="1:51" ht="16.5" customHeight="1">
      <c r="A196" s="74"/>
      <c r="B196" s="74"/>
      <c r="C196" s="74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</row>
    <row r="197" spans="1:51" ht="16.5" customHeight="1">
      <c r="A197" s="74"/>
      <c r="B197" s="74"/>
      <c r="C197" s="74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</row>
    <row r="198" spans="1:51" ht="16.5" customHeight="1">
      <c r="A198" s="74"/>
      <c r="B198" s="74"/>
      <c r="C198" s="74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</row>
    <row r="199" spans="1:51" ht="16.5" customHeight="1">
      <c r="A199" s="74"/>
      <c r="B199" s="74"/>
      <c r="C199" s="74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</row>
    <row r="200" spans="1:51" ht="16.5" customHeight="1">
      <c r="A200" s="74"/>
      <c r="B200" s="74"/>
      <c r="C200" s="74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</row>
    <row r="201" spans="1:51" ht="16.5" customHeight="1">
      <c r="A201" s="74"/>
      <c r="B201" s="74"/>
      <c r="C201" s="74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</row>
    <row r="202" spans="1:51" ht="16.5" customHeight="1">
      <c r="A202" s="74"/>
      <c r="B202" s="74"/>
      <c r="C202" s="74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</row>
    <row r="203" spans="1:51" ht="16.5" customHeight="1">
      <c r="A203" s="74"/>
      <c r="B203" s="74"/>
      <c r="C203" s="74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</row>
    <row r="204" spans="1:51" ht="16.5" customHeight="1">
      <c r="A204" s="74"/>
      <c r="B204" s="74"/>
      <c r="C204" s="74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</row>
    <row r="205" spans="1:51" ht="16.5" customHeight="1">
      <c r="A205" s="74"/>
      <c r="B205" s="74"/>
      <c r="C205" s="74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</row>
    <row r="206" spans="1:51" ht="16.5" customHeight="1">
      <c r="A206" s="74"/>
      <c r="B206" s="74"/>
      <c r="C206" s="74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</row>
    <row r="207" spans="1:51" ht="16.5" customHeight="1">
      <c r="A207" s="74"/>
      <c r="B207" s="74"/>
      <c r="C207" s="74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</row>
    <row r="208" spans="1:51" ht="16.5" customHeight="1">
      <c r="A208" s="74"/>
      <c r="B208" s="74"/>
      <c r="C208" s="74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</row>
    <row r="209" spans="1:51" ht="16.5" customHeight="1">
      <c r="A209" s="74"/>
      <c r="B209" s="74"/>
      <c r="C209" s="74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</row>
    <row r="210" spans="1:51" ht="16.5" customHeight="1">
      <c r="A210" s="74"/>
      <c r="B210" s="74"/>
      <c r="C210" s="74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</row>
    <row r="211" spans="1:51" ht="16.5" customHeight="1">
      <c r="A211" s="74"/>
      <c r="B211" s="74"/>
      <c r="C211" s="74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</row>
    <row r="212" spans="1:51" ht="16.5" customHeight="1">
      <c r="A212" s="74"/>
      <c r="B212" s="74"/>
      <c r="C212" s="74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</row>
    <row r="213" spans="1:51" ht="16.5" customHeight="1">
      <c r="A213" s="74"/>
      <c r="B213" s="74"/>
      <c r="C213" s="74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</row>
    <row r="214" spans="1:51" ht="16.5" customHeight="1">
      <c r="A214" s="74"/>
      <c r="B214" s="74"/>
      <c r="C214" s="74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</row>
    <row r="215" spans="1:51" ht="16.5" customHeight="1">
      <c r="A215" s="74"/>
      <c r="B215" s="74"/>
      <c r="C215" s="74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</row>
    <row r="216" spans="1:51" ht="16.5" customHeight="1">
      <c r="A216" s="74"/>
      <c r="B216" s="74"/>
      <c r="C216" s="74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</row>
    <row r="217" spans="1:51" ht="16.5" customHeight="1">
      <c r="A217" s="74"/>
      <c r="B217" s="74"/>
      <c r="C217" s="74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</row>
    <row r="218" spans="1:51" ht="16.5" customHeight="1">
      <c r="A218" s="74"/>
      <c r="B218" s="74"/>
      <c r="C218" s="74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</row>
    <row r="219" spans="1:51" ht="15.75" customHeight="1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</row>
    <row r="220" spans="1:51" ht="15.75" customHeight="1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</row>
    <row r="221" spans="1:51" ht="15.75" customHeight="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</row>
    <row r="222" spans="1:51" ht="15.75" customHeight="1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  <c r="AR222" s="84"/>
      <c r="AS222" s="84"/>
      <c r="AT222" s="84"/>
      <c r="AU222" s="84"/>
      <c r="AV222" s="84"/>
      <c r="AW222" s="84"/>
      <c r="AX222" s="84"/>
      <c r="AY222" s="84"/>
    </row>
    <row r="223" spans="1:51" ht="15.75" customHeight="1"/>
    <row r="224" spans="1:5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V3:W3"/>
    <mergeCell ref="X3:Y3"/>
    <mergeCell ref="H3:I3"/>
    <mergeCell ref="J3:K3"/>
    <mergeCell ref="L3:M3"/>
    <mergeCell ref="N3:O3"/>
    <mergeCell ref="P3:Q3"/>
    <mergeCell ref="R3:S3"/>
    <mergeCell ref="T3:U3"/>
    <mergeCell ref="Z1:AA1"/>
    <mergeCell ref="AB1:AC1"/>
    <mergeCell ref="AD1:AE1"/>
    <mergeCell ref="L1:M1"/>
    <mergeCell ref="N1:O1"/>
    <mergeCell ref="P1:Q1"/>
    <mergeCell ref="R1:S1"/>
    <mergeCell ref="T1:U1"/>
    <mergeCell ref="V1:W1"/>
    <mergeCell ref="X1:Y1"/>
    <mergeCell ref="V2:W2"/>
    <mergeCell ref="X2:Y2"/>
    <mergeCell ref="Z2:AA2"/>
    <mergeCell ref="H2:I2"/>
    <mergeCell ref="J2:K2"/>
    <mergeCell ref="L2:M2"/>
    <mergeCell ref="N2:O2"/>
    <mergeCell ref="P2:Q2"/>
    <mergeCell ref="R2:S2"/>
    <mergeCell ref="T2:U2"/>
    <mergeCell ref="AB2:AC2"/>
    <mergeCell ref="AD2:AE2"/>
    <mergeCell ref="Z3:AA3"/>
    <mergeCell ref="AB3:AC3"/>
    <mergeCell ref="AD3:AE3"/>
    <mergeCell ref="H1:I1"/>
    <mergeCell ref="J1:K1"/>
    <mergeCell ref="D3:E3"/>
    <mergeCell ref="F3:G3"/>
    <mergeCell ref="A1:A4"/>
    <mergeCell ref="B1:B4"/>
    <mergeCell ref="C1:C4"/>
    <mergeCell ref="D1:E1"/>
    <mergeCell ref="F1:G1"/>
    <mergeCell ref="D2:E2"/>
    <mergeCell ref="F2:G2"/>
  </mergeCells>
  <phoneticPr fontId="23" type="noConversion"/>
  <pageMargins left="0.70866141732283505" right="0.70866141732283505" top="0.74803149606299202" bottom="0.74803149606299202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W999"/>
  <sheetViews>
    <sheetView topLeftCell="K1" workbookViewId="0">
      <selection activeCell="V3" sqref="V3:W3"/>
    </sheetView>
  </sheetViews>
  <sheetFormatPr baseColWidth="10" defaultColWidth="11.1640625" defaultRowHeight="15" customHeight="1"/>
  <cols>
    <col min="1" max="1" width="10.5" customWidth="1"/>
    <col min="2" max="2" width="51" customWidth="1"/>
    <col min="3" max="3" width="7.1640625" customWidth="1"/>
    <col min="4" max="4" width="7" customWidth="1"/>
    <col min="5" max="5" width="8.1640625" customWidth="1"/>
    <col min="6" max="6" width="6" customWidth="1"/>
    <col min="7" max="7" width="7.1640625" customWidth="1"/>
    <col min="8" max="8" width="6.1640625" customWidth="1"/>
    <col min="9" max="9" width="5.6640625" customWidth="1"/>
    <col min="10" max="10" width="6" customWidth="1"/>
    <col min="11" max="11" width="6.5" customWidth="1"/>
    <col min="12" max="12" width="6.1640625" customWidth="1"/>
    <col min="13" max="13" width="6.33203125" customWidth="1"/>
    <col min="14" max="14" width="6.6640625" customWidth="1"/>
    <col min="15" max="15" width="6.5" customWidth="1"/>
    <col min="16" max="16" width="7.1640625" customWidth="1"/>
    <col min="17" max="17" width="7.33203125" customWidth="1"/>
    <col min="18" max="19" width="7.5" customWidth="1"/>
    <col min="20" max="20" width="6.83203125" customWidth="1"/>
    <col min="21" max="21" width="6.5" customWidth="1"/>
    <col min="22" max="22" width="6.6640625" customWidth="1"/>
    <col min="23" max="23" width="6.33203125" customWidth="1"/>
    <col min="24" max="26" width="6.6640625" customWidth="1"/>
    <col min="27" max="27" width="7.1640625" customWidth="1"/>
    <col min="28" max="28" width="7.6640625" customWidth="1"/>
    <col min="29" max="29" width="7.33203125" customWidth="1"/>
    <col min="30" max="49" width="5.1640625" customWidth="1"/>
  </cols>
  <sheetData>
    <row r="1" spans="1:49" ht="15.75" customHeight="1">
      <c r="A1" s="180" t="s">
        <v>135</v>
      </c>
      <c r="B1" s="181" t="s">
        <v>136</v>
      </c>
      <c r="C1" s="180" t="s">
        <v>137</v>
      </c>
      <c r="D1" s="182" t="s">
        <v>138</v>
      </c>
      <c r="E1" s="177"/>
      <c r="F1" s="176" t="s">
        <v>138</v>
      </c>
      <c r="G1" s="177"/>
      <c r="H1" s="176" t="s">
        <v>138</v>
      </c>
      <c r="I1" s="177"/>
      <c r="J1" s="176" t="s">
        <v>138</v>
      </c>
      <c r="K1" s="177"/>
      <c r="L1" s="176" t="s">
        <v>138</v>
      </c>
      <c r="M1" s="177"/>
      <c r="N1" s="176" t="s">
        <v>138</v>
      </c>
      <c r="O1" s="177"/>
      <c r="P1" s="176" t="s">
        <v>138</v>
      </c>
      <c r="Q1" s="177"/>
      <c r="R1" s="176" t="s">
        <v>138</v>
      </c>
      <c r="S1" s="177"/>
      <c r="T1" s="176" t="s">
        <v>138</v>
      </c>
      <c r="U1" s="177"/>
      <c r="V1" s="176" t="s">
        <v>138</v>
      </c>
      <c r="W1" s="177"/>
      <c r="X1" s="176" t="s">
        <v>138</v>
      </c>
      <c r="Y1" s="177"/>
      <c r="Z1" s="176" t="s">
        <v>138</v>
      </c>
      <c r="AA1" s="177"/>
      <c r="AB1" s="176" t="s">
        <v>138</v>
      </c>
      <c r="AC1" s="177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</row>
    <row r="2" spans="1:49" ht="16.5" customHeight="1">
      <c r="A2" s="132"/>
      <c r="B2" s="132"/>
      <c r="C2" s="132"/>
      <c r="D2" s="183" t="s">
        <v>2</v>
      </c>
      <c r="E2" s="184"/>
      <c r="F2" s="185" t="s">
        <v>2</v>
      </c>
      <c r="G2" s="184"/>
      <c r="H2" s="185" t="s">
        <v>2</v>
      </c>
      <c r="I2" s="184"/>
      <c r="J2" s="185" t="s">
        <v>2</v>
      </c>
      <c r="K2" s="184"/>
      <c r="L2" s="185" t="s">
        <v>2</v>
      </c>
      <c r="M2" s="184"/>
      <c r="N2" s="185" t="s">
        <v>2</v>
      </c>
      <c r="O2" s="184"/>
      <c r="P2" s="188" t="s">
        <v>3</v>
      </c>
      <c r="Q2" s="184"/>
      <c r="R2" s="188" t="s">
        <v>3</v>
      </c>
      <c r="S2" s="184"/>
      <c r="T2" s="188" t="s">
        <v>3</v>
      </c>
      <c r="U2" s="184"/>
      <c r="V2" s="188" t="s">
        <v>3</v>
      </c>
      <c r="W2" s="184"/>
      <c r="X2" s="188" t="s">
        <v>3</v>
      </c>
      <c r="Y2" s="184"/>
      <c r="Z2" s="188" t="s">
        <v>3</v>
      </c>
      <c r="AA2" s="184"/>
      <c r="AB2" s="187" t="s">
        <v>4</v>
      </c>
      <c r="AC2" s="1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</row>
    <row r="3" spans="1:49" ht="15.75" customHeight="1">
      <c r="A3" s="132"/>
      <c r="B3" s="132"/>
      <c r="C3" s="132"/>
      <c r="D3" s="178" t="s">
        <v>30</v>
      </c>
      <c r="E3" s="127"/>
      <c r="F3" s="179" t="s">
        <v>31</v>
      </c>
      <c r="G3" s="135"/>
      <c r="H3" s="186" t="s">
        <v>32</v>
      </c>
      <c r="I3" s="127"/>
      <c r="J3" s="186" t="s">
        <v>33</v>
      </c>
      <c r="K3" s="127"/>
      <c r="L3" s="186" t="s">
        <v>34</v>
      </c>
      <c r="M3" s="127"/>
      <c r="N3" s="186" t="s">
        <v>35</v>
      </c>
      <c r="O3" s="127"/>
      <c r="P3" s="186" t="s">
        <v>36</v>
      </c>
      <c r="Q3" s="127"/>
      <c r="R3" s="186" t="s">
        <v>37</v>
      </c>
      <c r="S3" s="127"/>
      <c r="T3" s="186" t="s">
        <v>38</v>
      </c>
      <c r="U3" s="127"/>
      <c r="V3" s="179" t="s">
        <v>39</v>
      </c>
      <c r="W3" s="135"/>
      <c r="X3" s="186" t="s">
        <v>40</v>
      </c>
      <c r="Y3" s="127"/>
      <c r="Z3" s="186" t="s">
        <v>41</v>
      </c>
      <c r="AA3" s="127"/>
      <c r="AB3" s="186" t="s">
        <v>42</v>
      </c>
      <c r="AC3" s="127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</row>
    <row r="4" spans="1:49" ht="36.75" customHeight="1">
      <c r="A4" s="132"/>
      <c r="B4" s="132"/>
      <c r="C4" s="132"/>
      <c r="D4" s="90" t="s">
        <v>141</v>
      </c>
      <c r="E4" s="91" t="s">
        <v>142</v>
      </c>
      <c r="F4" s="92" t="s">
        <v>141</v>
      </c>
      <c r="G4" s="91" t="s">
        <v>142</v>
      </c>
      <c r="H4" s="92" t="s">
        <v>141</v>
      </c>
      <c r="I4" s="91" t="s">
        <v>142</v>
      </c>
      <c r="J4" s="92" t="s">
        <v>141</v>
      </c>
      <c r="K4" s="91" t="s">
        <v>142</v>
      </c>
      <c r="L4" s="92" t="s">
        <v>141</v>
      </c>
      <c r="M4" s="91" t="s">
        <v>142</v>
      </c>
      <c r="N4" s="92" t="s">
        <v>141</v>
      </c>
      <c r="O4" s="91" t="s">
        <v>142</v>
      </c>
      <c r="P4" s="92" t="s">
        <v>141</v>
      </c>
      <c r="Q4" s="91" t="s">
        <v>142</v>
      </c>
      <c r="R4" s="92" t="s">
        <v>141</v>
      </c>
      <c r="S4" s="91" t="s">
        <v>142</v>
      </c>
      <c r="T4" s="92" t="s">
        <v>141</v>
      </c>
      <c r="U4" s="91" t="s">
        <v>142</v>
      </c>
      <c r="V4" s="92" t="s">
        <v>141</v>
      </c>
      <c r="W4" s="91" t="s">
        <v>142</v>
      </c>
      <c r="X4" s="92" t="s">
        <v>141</v>
      </c>
      <c r="Y4" s="91" t="s">
        <v>142</v>
      </c>
      <c r="Z4" s="92" t="s">
        <v>141</v>
      </c>
      <c r="AA4" s="91" t="s">
        <v>142</v>
      </c>
      <c r="AB4" s="92" t="s">
        <v>141</v>
      </c>
      <c r="AC4" s="91" t="s">
        <v>142</v>
      </c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</row>
    <row r="5" spans="1:49" ht="16.5" customHeight="1">
      <c r="A5" s="93"/>
      <c r="B5" s="93"/>
      <c r="C5" s="93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</row>
    <row r="6" spans="1:49" ht="16.5" customHeight="1">
      <c r="A6" s="93"/>
      <c r="B6" s="93"/>
      <c r="C6" s="93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</row>
    <row r="7" spans="1:49" ht="16.5" customHeight="1">
      <c r="A7" s="93"/>
      <c r="B7" s="93"/>
      <c r="C7" s="93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</row>
    <row r="8" spans="1:49" ht="16.5" customHeight="1">
      <c r="A8" s="93"/>
      <c r="B8" s="93"/>
      <c r="C8" s="93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</row>
    <row r="9" spans="1:49" ht="16.5" customHeight="1">
      <c r="A9" s="93"/>
      <c r="B9" s="93"/>
      <c r="C9" s="93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</row>
    <row r="10" spans="1:49" ht="16.5" customHeight="1">
      <c r="A10" s="93"/>
      <c r="B10" s="93"/>
      <c r="C10" s="93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</row>
    <row r="11" spans="1:49" ht="16.5" customHeight="1">
      <c r="A11" s="93"/>
      <c r="B11" s="93"/>
      <c r="C11" s="93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</row>
    <row r="12" spans="1:49" ht="16.5" customHeight="1">
      <c r="A12" s="93"/>
      <c r="B12" s="93"/>
      <c r="C12" s="93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</row>
    <row r="13" spans="1:49" ht="16.5" customHeight="1">
      <c r="A13" s="93"/>
      <c r="B13" s="93"/>
      <c r="C13" s="93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</row>
    <row r="14" spans="1:49" ht="16.5" customHeight="1">
      <c r="A14" s="93"/>
      <c r="B14" s="93"/>
      <c r="C14" s="93"/>
      <c r="D14" s="111">
        <f>SUM(D5:D13)</f>
        <v>0</v>
      </c>
      <c r="E14" s="111">
        <f t="shared" ref="E14:AC14" si="0">SUM(E5:E13)</f>
        <v>0</v>
      </c>
      <c r="F14" s="111">
        <f t="shared" si="0"/>
        <v>0</v>
      </c>
      <c r="G14" s="111">
        <f t="shared" si="0"/>
        <v>0</v>
      </c>
      <c r="H14" s="111">
        <f t="shared" si="0"/>
        <v>0</v>
      </c>
      <c r="I14" s="111">
        <f t="shared" si="0"/>
        <v>0</v>
      </c>
      <c r="J14" s="111">
        <f t="shared" si="0"/>
        <v>0</v>
      </c>
      <c r="K14" s="111">
        <f t="shared" si="0"/>
        <v>0</v>
      </c>
      <c r="L14" s="111">
        <f t="shared" si="0"/>
        <v>0</v>
      </c>
      <c r="M14" s="111">
        <f t="shared" si="0"/>
        <v>0</v>
      </c>
      <c r="N14" s="111">
        <f t="shared" si="0"/>
        <v>0</v>
      </c>
      <c r="O14" s="111">
        <f t="shared" si="0"/>
        <v>0</v>
      </c>
      <c r="P14" s="111">
        <f t="shared" si="0"/>
        <v>0</v>
      </c>
      <c r="Q14" s="111">
        <f t="shared" si="0"/>
        <v>0</v>
      </c>
      <c r="R14" s="111">
        <f t="shared" si="0"/>
        <v>0</v>
      </c>
      <c r="S14" s="111">
        <f t="shared" si="0"/>
        <v>0</v>
      </c>
      <c r="T14" s="111">
        <f t="shared" si="0"/>
        <v>0</v>
      </c>
      <c r="U14" s="111">
        <f t="shared" si="0"/>
        <v>0</v>
      </c>
      <c r="V14" s="111">
        <f t="shared" si="0"/>
        <v>0</v>
      </c>
      <c r="W14" s="111">
        <f t="shared" si="0"/>
        <v>0</v>
      </c>
      <c r="X14" s="111">
        <f t="shared" si="0"/>
        <v>0</v>
      </c>
      <c r="Y14" s="111">
        <f t="shared" si="0"/>
        <v>0</v>
      </c>
      <c r="Z14" s="111">
        <f t="shared" si="0"/>
        <v>0</v>
      </c>
      <c r="AA14" s="111">
        <f t="shared" si="0"/>
        <v>0</v>
      </c>
      <c r="AB14" s="111">
        <f t="shared" si="0"/>
        <v>0</v>
      </c>
      <c r="AC14" s="111">
        <f t="shared" si="0"/>
        <v>0</v>
      </c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</row>
    <row r="15" spans="1:49" ht="16.5" customHeight="1">
      <c r="A15" s="74"/>
      <c r="B15" s="74"/>
      <c r="C15" s="74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</row>
    <row r="16" spans="1:49" ht="16.5" customHeight="1">
      <c r="A16" s="74"/>
      <c r="B16" s="74"/>
      <c r="C16" s="74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</row>
    <row r="17" spans="1:49" ht="16.5" customHeight="1">
      <c r="A17" s="74"/>
      <c r="B17" s="74"/>
      <c r="C17" s="74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</row>
    <row r="18" spans="1:49" ht="16.5" customHeight="1">
      <c r="A18" s="74"/>
      <c r="B18" s="74"/>
      <c r="C18" s="74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</row>
    <row r="19" spans="1:49" ht="16.5" customHeight="1">
      <c r="A19" s="74"/>
      <c r="B19" s="74"/>
      <c r="C19" s="74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</row>
    <row r="20" spans="1:49" ht="16.5" customHeight="1">
      <c r="A20" s="74"/>
      <c r="B20" s="74"/>
      <c r="C20" s="74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</row>
    <row r="21" spans="1:49" ht="16.5" customHeight="1">
      <c r="A21" s="74"/>
      <c r="B21" s="74"/>
      <c r="C21" s="74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</row>
    <row r="22" spans="1:49" ht="16.5" customHeight="1">
      <c r="A22" s="74"/>
      <c r="B22" s="74"/>
      <c r="C22" s="74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</row>
    <row r="23" spans="1:49" ht="16.5" customHeight="1">
      <c r="A23" s="74"/>
      <c r="B23" s="74"/>
      <c r="C23" s="74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</row>
    <row r="24" spans="1:49" ht="16.5" customHeight="1">
      <c r="A24" s="74"/>
      <c r="B24" s="74"/>
      <c r="C24" s="74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</row>
    <row r="25" spans="1:49" ht="16.5" customHeight="1">
      <c r="A25" s="74"/>
      <c r="B25" s="74"/>
      <c r="C25" s="74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</row>
    <row r="26" spans="1:49" ht="16.5" customHeight="1">
      <c r="A26" s="74"/>
      <c r="B26" s="74"/>
      <c r="C26" s="74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</row>
    <row r="27" spans="1:49" ht="16.5" customHeight="1">
      <c r="A27" s="74"/>
      <c r="B27" s="74"/>
      <c r="C27" s="74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</row>
    <row r="28" spans="1:49" ht="16.5" customHeight="1">
      <c r="A28" s="74"/>
      <c r="B28" s="74"/>
      <c r="C28" s="74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</row>
    <row r="29" spans="1:49" ht="16.5" customHeight="1">
      <c r="A29" s="74"/>
      <c r="B29" s="74"/>
      <c r="C29" s="74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</row>
    <row r="30" spans="1:49" ht="16.5" customHeight="1">
      <c r="A30" s="74"/>
      <c r="B30" s="74"/>
      <c r="C30" s="74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</row>
    <row r="31" spans="1:49" ht="16.5" customHeight="1">
      <c r="A31" s="74"/>
      <c r="B31" s="74"/>
      <c r="C31" s="74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</row>
    <row r="32" spans="1:49" ht="16.5" customHeight="1">
      <c r="A32" s="74"/>
      <c r="B32" s="74"/>
      <c r="C32" s="74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</row>
    <row r="33" spans="1:49" ht="16.5" customHeight="1">
      <c r="A33" s="74"/>
      <c r="B33" s="74"/>
      <c r="C33" s="74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</row>
    <row r="34" spans="1:49" ht="16.5" customHeight="1">
      <c r="A34" s="74"/>
      <c r="B34" s="74"/>
      <c r="C34" s="74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</row>
    <row r="35" spans="1:49" ht="16.5" customHeight="1">
      <c r="A35" s="74"/>
      <c r="B35" s="74"/>
      <c r="C35" s="74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</row>
    <row r="36" spans="1:49" ht="16.5" customHeight="1">
      <c r="A36" s="74"/>
      <c r="B36" s="74"/>
      <c r="C36" s="74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</row>
    <row r="37" spans="1:49" ht="16.5" customHeight="1">
      <c r="A37" s="74"/>
      <c r="B37" s="74"/>
      <c r="C37" s="74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</row>
    <row r="38" spans="1:49" ht="16.5" customHeight="1">
      <c r="A38" s="74"/>
      <c r="B38" s="74"/>
      <c r="C38" s="74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</row>
    <row r="39" spans="1:49" ht="16.5" customHeight="1">
      <c r="A39" s="74"/>
      <c r="B39" s="74"/>
      <c r="C39" s="74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</row>
    <row r="40" spans="1:49" ht="16.5" customHeight="1">
      <c r="A40" s="74"/>
      <c r="B40" s="74"/>
      <c r="C40" s="74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</row>
    <row r="41" spans="1:49" ht="16.5" customHeight="1">
      <c r="A41" s="74"/>
      <c r="B41" s="74"/>
      <c r="C41" s="74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</row>
    <row r="42" spans="1:49" ht="16.5" customHeight="1">
      <c r="A42" s="74"/>
      <c r="B42" s="74"/>
      <c r="C42" s="74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</row>
    <row r="43" spans="1:49" ht="16.5" customHeight="1">
      <c r="A43" s="74"/>
      <c r="B43" s="74"/>
      <c r="C43" s="74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</row>
    <row r="44" spans="1:49" ht="16.5" customHeight="1">
      <c r="A44" s="74"/>
      <c r="B44" s="74"/>
      <c r="C44" s="74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</row>
    <row r="45" spans="1:49" ht="16.5" customHeight="1">
      <c r="A45" s="74"/>
      <c r="B45" s="74"/>
      <c r="C45" s="74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</row>
    <row r="46" spans="1:49" ht="16.5" customHeight="1">
      <c r="A46" s="74"/>
      <c r="B46" s="74"/>
      <c r="C46" s="74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</row>
    <row r="47" spans="1:49" ht="16.5" customHeight="1">
      <c r="A47" s="74"/>
      <c r="B47" s="74"/>
      <c r="C47" s="74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</row>
    <row r="48" spans="1:49" ht="16.5" customHeight="1">
      <c r="A48" s="74"/>
      <c r="B48" s="74"/>
      <c r="C48" s="74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</row>
    <row r="49" spans="1:49" ht="16.5" customHeight="1">
      <c r="A49" s="74"/>
      <c r="B49" s="74"/>
      <c r="C49" s="74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</row>
    <row r="50" spans="1:49" ht="16.5" customHeight="1">
      <c r="A50" s="74"/>
      <c r="B50" s="74"/>
      <c r="C50" s="74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</row>
    <row r="51" spans="1:49" ht="16.5" customHeight="1">
      <c r="A51" s="74"/>
      <c r="B51" s="74"/>
      <c r="C51" s="74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</row>
    <row r="52" spans="1:49" ht="16.5" customHeight="1">
      <c r="A52" s="74"/>
      <c r="B52" s="74"/>
      <c r="C52" s="74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</row>
    <row r="53" spans="1:49" ht="16.5" customHeight="1">
      <c r="A53" s="74"/>
      <c r="B53" s="74"/>
      <c r="C53" s="74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</row>
    <row r="54" spans="1:49" ht="16.5" customHeight="1">
      <c r="A54" s="74"/>
      <c r="B54" s="74"/>
      <c r="C54" s="74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</row>
    <row r="55" spans="1:49" ht="16.5" customHeight="1">
      <c r="A55" s="74"/>
      <c r="B55" s="74"/>
      <c r="C55" s="74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</row>
    <row r="56" spans="1:49" ht="16.5" customHeight="1">
      <c r="A56" s="74"/>
      <c r="B56" s="74"/>
      <c r="C56" s="74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</row>
    <row r="57" spans="1:49" ht="16.5" customHeight="1">
      <c r="A57" s="74"/>
      <c r="B57" s="74"/>
      <c r="C57" s="74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</row>
    <row r="58" spans="1:49" ht="16.5" customHeight="1">
      <c r="A58" s="74"/>
      <c r="B58" s="74"/>
      <c r="C58" s="74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</row>
    <row r="59" spans="1:49" ht="16.5" customHeight="1">
      <c r="A59" s="74"/>
      <c r="B59" s="74"/>
      <c r="C59" s="74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</row>
    <row r="60" spans="1:49" ht="16.5" customHeight="1">
      <c r="A60" s="74"/>
      <c r="B60" s="74"/>
      <c r="C60" s="74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</row>
    <row r="61" spans="1:49" ht="16.5" customHeight="1">
      <c r="A61" s="74"/>
      <c r="B61" s="74"/>
      <c r="C61" s="74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</row>
    <row r="62" spans="1:49" ht="16.5" customHeight="1">
      <c r="A62" s="74"/>
      <c r="B62" s="74"/>
      <c r="C62" s="74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</row>
    <row r="63" spans="1:49" ht="16.5" customHeight="1">
      <c r="A63" s="74"/>
      <c r="B63" s="74"/>
      <c r="C63" s="74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</row>
    <row r="64" spans="1:49" ht="16.5" customHeight="1">
      <c r="A64" s="74"/>
      <c r="B64" s="74"/>
      <c r="C64" s="74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</row>
    <row r="65" spans="1:49" ht="16.5" customHeight="1">
      <c r="A65" s="74"/>
      <c r="B65" s="74"/>
      <c r="C65" s="74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</row>
    <row r="66" spans="1:49" ht="16.5" customHeight="1">
      <c r="A66" s="74"/>
      <c r="B66" s="74"/>
      <c r="C66" s="74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</row>
    <row r="67" spans="1:49" ht="16.5" customHeight="1">
      <c r="A67" s="74"/>
      <c r="B67" s="74"/>
      <c r="C67" s="74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</row>
    <row r="68" spans="1:49" ht="16.5" customHeight="1">
      <c r="A68" s="74"/>
      <c r="B68" s="74"/>
      <c r="C68" s="74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</row>
    <row r="69" spans="1:49" ht="16.5" customHeight="1">
      <c r="A69" s="74"/>
      <c r="B69" s="74"/>
      <c r="C69" s="74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</row>
    <row r="70" spans="1:49" ht="16.5" customHeight="1">
      <c r="A70" s="74"/>
      <c r="B70" s="74"/>
      <c r="C70" s="74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</row>
    <row r="71" spans="1:49" ht="16.5" customHeight="1">
      <c r="A71" s="74"/>
      <c r="B71" s="74"/>
      <c r="C71" s="74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</row>
    <row r="72" spans="1:49" ht="16.5" customHeight="1">
      <c r="A72" s="74"/>
      <c r="B72" s="74"/>
      <c r="C72" s="74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</row>
    <row r="73" spans="1:49" ht="16.5" customHeight="1">
      <c r="A73" s="74"/>
      <c r="B73" s="74"/>
      <c r="C73" s="74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</row>
    <row r="74" spans="1:49" ht="16.5" customHeight="1">
      <c r="A74" s="74"/>
      <c r="B74" s="74"/>
      <c r="C74" s="74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</row>
    <row r="75" spans="1:49" ht="16.5" customHeight="1">
      <c r="A75" s="74"/>
      <c r="B75" s="74"/>
      <c r="C75" s="74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</row>
    <row r="76" spans="1:49" ht="16.5" customHeight="1">
      <c r="A76" s="74"/>
      <c r="B76" s="74"/>
      <c r="C76" s="74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</row>
    <row r="77" spans="1:49" ht="16.5" customHeight="1">
      <c r="A77" s="74"/>
      <c r="B77" s="74"/>
      <c r="C77" s="74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</row>
    <row r="78" spans="1:49" ht="16.5" customHeight="1">
      <c r="A78" s="74"/>
      <c r="B78" s="74"/>
      <c r="C78" s="74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</row>
    <row r="79" spans="1:49" ht="16.5" customHeight="1">
      <c r="A79" s="74"/>
      <c r="B79" s="74"/>
      <c r="C79" s="74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</row>
    <row r="80" spans="1:49" ht="16.5" customHeight="1">
      <c r="A80" s="74"/>
      <c r="B80" s="74"/>
      <c r="C80" s="74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</row>
    <row r="81" spans="1:49" ht="16.5" customHeight="1">
      <c r="A81" s="74"/>
      <c r="B81" s="74"/>
      <c r="C81" s="74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</row>
    <row r="82" spans="1:49" ht="16.5" customHeight="1">
      <c r="A82" s="74"/>
      <c r="B82" s="74"/>
      <c r="C82" s="74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</row>
    <row r="83" spans="1:49" ht="16.5" customHeight="1">
      <c r="A83" s="74"/>
      <c r="B83" s="74"/>
      <c r="C83" s="74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</row>
    <row r="84" spans="1:49" ht="16.5" customHeight="1">
      <c r="A84" s="74"/>
      <c r="B84" s="74"/>
      <c r="C84" s="74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</row>
    <row r="85" spans="1:49" ht="16.5" customHeight="1">
      <c r="A85" s="74"/>
      <c r="B85" s="74"/>
      <c r="C85" s="74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</row>
    <row r="86" spans="1:49" ht="16.5" customHeight="1">
      <c r="A86" s="74"/>
      <c r="B86" s="74"/>
      <c r="C86" s="74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</row>
    <row r="87" spans="1:49" ht="16.5" customHeight="1">
      <c r="A87" s="74"/>
      <c r="B87" s="74"/>
      <c r="C87" s="74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</row>
    <row r="88" spans="1:49" ht="16.5" customHeight="1">
      <c r="A88" s="74"/>
      <c r="B88" s="74"/>
      <c r="C88" s="74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</row>
    <row r="89" spans="1:49" ht="16.5" customHeight="1">
      <c r="A89" s="74"/>
      <c r="B89" s="74"/>
      <c r="C89" s="74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</row>
    <row r="90" spans="1:49" ht="16.5" customHeight="1">
      <c r="A90" s="74"/>
      <c r="B90" s="74"/>
      <c r="C90" s="74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</row>
    <row r="91" spans="1:49" ht="16.5" customHeight="1">
      <c r="A91" s="74"/>
      <c r="B91" s="74"/>
      <c r="C91" s="74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</row>
    <row r="92" spans="1:49" ht="16.5" customHeight="1">
      <c r="A92" s="74"/>
      <c r="B92" s="74"/>
      <c r="C92" s="74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</row>
    <row r="93" spans="1:49" ht="16.5" customHeight="1">
      <c r="A93" s="74"/>
      <c r="B93" s="74"/>
      <c r="C93" s="74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</row>
    <row r="94" spans="1:49" ht="16.5" customHeight="1">
      <c r="A94" s="74"/>
      <c r="B94" s="74"/>
      <c r="C94" s="74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</row>
    <row r="95" spans="1:49" ht="16.5" customHeight="1">
      <c r="A95" s="74"/>
      <c r="B95" s="74"/>
      <c r="C95" s="74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</row>
    <row r="96" spans="1:49" ht="16.5" customHeight="1">
      <c r="A96" s="74"/>
      <c r="B96" s="74"/>
      <c r="C96" s="74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</row>
    <row r="97" spans="1:49" ht="16.5" customHeight="1">
      <c r="A97" s="74"/>
      <c r="B97" s="74"/>
      <c r="C97" s="74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</row>
    <row r="98" spans="1:49" ht="16.5" customHeight="1">
      <c r="A98" s="74"/>
      <c r="B98" s="74"/>
      <c r="C98" s="74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</row>
    <row r="99" spans="1:49" ht="16.5" customHeight="1">
      <c r="A99" s="74"/>
      <c r="B99" s="74"/>
      <c r="C99" s="74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</row>
    <row r="100" spans="1:49" ht="16.5" customHeight="1">
      <c r="A100" s="74"/>
      <c r="B100" s="74"/>
      <c r="C100" s="74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</row>
    <row r="101" spans="1:49" ht="16.5" customHeight="1">
      <c r="A101" s="74"/>
      <c r="B101" s="74"/>
      <c r="C101" s="74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</row>
    <row r="102" spans="1:49" ht="16.5" customHeight="1">
      <c r="A102" s="74"/>
      <c r="B102" s="74"/>
      <c r="C102" s="74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</row>
    <row r="103" spans="1:49" ht="16.5" customHeight="1">
      <c r="A103" s="74"/>
      <c r="B103" s="74"/>
      <c r="C103" s="74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</row>
    <row r="104" spans="1:49" ht="16.5" customHeight="1">
      <c r="A104" s="74"/>
      <c r="B104" s="74"/>
      <c r="C104" s="74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</row>
    <row r="105" spans="1:49" ht="16.5" customHeight="1">
      <c r="A105" s="74"/>
      <c r="B105" s="74"/>
      <c r="C105" s="74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</row>
    <row r="106" spans="1:49" ht="16.5" customHeight="1">
      <c r="A106" s="74"/>
      <c r="B106" s="74"/>
      <c r="C106" s="74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</row>
    <row r="107" spans="1:49" ht="16.5" customHeight="1">
      <c r="A107" s="74"/>
      <c r="B107" s="74"/>
      <c r="C107" s="74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</row>
    <row r="108" spans="1:49" ht="16.5" customHeight="1">
      <c r="A108" s="74"/>
      <c r="B108" s="74"/>
      <c r="C108" s="74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</row>
    <row r="109" spans="1:49" ht="16.5" customHeight="1">
      <c r="A109" s="74"/>
      <c r="B109" s="74"/>
      <c r="C109" s="74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</row>
    <row r="110" spans="1:49" ht="16.5" customHeight="1">
      <c r="A110" s="74"/>
      <c r="B110" s="74"/>
      <c r="C110" s="74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</row>
    <row r="111" spans="1:49" ht="16.5" customHeight="1">
      <c r="A111" s="74"/>
      <c r="B111" s="74"/>
      <c r="C111" s="74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</row>
    <row r="112" spans="1:49" ht="16.5" customHeight="1">
      <c r="A112" s="74"/>
      <c r="B112" s="74"/>
      <c r="C112" s="74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</row>
    <row r="113" spans="1:49" ht="16.5" customHeight="1">
      <c r="A113" s="74"/>
      <c r="B113" s="74"/>
      <c r="C113" s="74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</row>
    <row r="114" spans="1:49" ht="16.5" customHeight="1">
      <c r="A114" s="74"/>
      <c r="B114" s="74"/>
      <c r="C114" s="74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</row>
    <row r="115" spans="1:49" ht="16.5" customHeight="1">
      <c r="A115" s="74"/>
      <c r="B115" s="74"/>
      <c r="C115" s="74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</row>
    <row r="116" spans="1:49" ht="16.5" customHeight="1">
      <c r="A116" s="74"/>
      <c r="B116" s="74"/>
      <c r="C116" s="74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</row>
    <row r="117" spans="1:49" ht="16.5" customHeight="1">
      <c r="A117" s="74"/>
      <c r="B117" s="74"/>
      <c r="C117" s="74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</row>
    <row r="118" spans="1:49" ht="16.5" customHeight="1">
      <c r="A118" s="74"/>
      <c r="B118" s="74"/>
      <c r="C118" s="74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</row>
    <row r="119" spans="1:49" ht="16.5" customHeight="1">
      <c r="A119" s="74"/>
      <c r="B119" s="74"/>
      <c r="C119" s="74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</row>
    <row r="120" spans="1:49" ht="16.5" customHeight="1">
      <c r="A120" s="74"/>
      <c r="B120" s="74"/>
      <c r="C120" s="74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</row>
    <row r="121" spans="1:49" ht="16.5" customHeight="1">
      <c r="A121" s="74"/>
      <c r="B121" s="74"/>
      <c r="C121" s="74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</row>
    <row r="122" spans="1:49" ht="16.5" customHeight="1">
      <c r="A122" s="74"/>
      <c r="B122" s="74"/>
      <c r="C122" s="74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</row>
    <row r="123" spans="1:49" ht="16.5" customHeight="1">
      <c r="A123" s="74"/>
      <c r="B123" s="74"/>
      <c r="C123" s="74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</row>
    <row r="124" spans="1:49" ht="16.5" customHeight="1">
      <c r="A124" s="74"/>
      <c r="B124" s="74"/>
      <c r="C124" s="74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</row>
    <row r="125" spans="1:49" ht="16.5" customHeight="1">
      <c r="A125" s="74"/>
      <c r="B125" s="74"/>
      <c r="C125" s="74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</row>
    <row r="126" spans="1:49" ht="16.5" customHeight="1">
      <c r="A126" s="74"/>
      <c r="B126" s="74"/>
      <c r="C126" s="74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</row>
    <row r="127" spans="1:49" ht="16.5" customHeight="1">
      <c r="A127" s="74"/>
      <c r="B127" s="74"/>
      <c r="C127" s="74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</row>
    <row r="128" spans="1:49" ht="16.5" customHeight="1">
      <c r="A128" s="74"/>
      <c r="B128" s="74"/>
      <c r="C128" s="74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</row>
    <row r="129" spans="1:49" ht="16.5" customHeight="1">
      <c r="A129" s="74"/>
      <c r="B129" s="74"/>
      <c r="C129" s="74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</row>
    <row r="130" spans="1:49" ht="16.5" customHeight="1">
      <c r="A130" s="74"/>
      <c r="B130" s="74"/>
      <c r="C130" s="74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</row>
    <row r="131" spans="1:49" ht="16.5" customHeight="1">
      <c r="A131" s="74"/>
      <c r="B131" s="74"/>
      <c r="C131" s="74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</row>
    <row r="132" spans="1:49" ht="16.5" customHeight="1">
      <c r="A132" s="74"/>
      <c r="B132" s="74"/>
      <c r="C132" s="74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</row>
    <row r="133" spans="1:49" ht="16.5" customHeight="1">
      <c r="A133" s="74"/>
      <c r="B133" s="74"/>
      <c r="C133" s="74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</row>
    <row r="134" spans="1:49" ht="16.5" customHeight="1">
      <c r="A134" s="74"/>
      <c r="B134" s="74"/>
      <c r="C134" s="74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</row>
    <row r="135" spans="1:49" ht="16.5" customHeight="1">
      <c r="A135" s="74"/>
      <c r="B135" s="74"/>
      <c r="C135" s="74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</row>
    <row r="136" spans="1:49" ht="16.5" customHeight="1">
      <c r="A136" s="74"/>
      <c r="B136" s="74"/>
      <c r="C136" s="74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</row>
    <row r="137" spans="1:49" ht="16.5" customHeight="1">
      <c r="A137" s="74"/>
      <c r="B137" s="74"/>
      <c r="C137" s="74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</row>
    <row r="138" spans="1:49" ht="16.5" customHeight="1">
      <c r="A138" s="74"/>
      <c r="B138" s="74"/>
      <c r="C138" s="74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</row>
    <row r="139" spans="1:49" ht="16.5" customHeight="1">
      <c r="A139" s="74"/>
      <c r="B139" s="74"/>
      <c r="C139" s="74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</row>
    <row r="140" spans="1:49" ht="16.5" customHeight="1">
      <c r="A140" s="74"/>
      <c r="B140" s="74"/>
      <c r="C140" s="74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</row>
    <row r="141" spans="1:49" ht="16.5" customHeight="1">
      <c r="A141" s="74"/>
      <c r="B141" s="74"/>
      <c r="C141" s="74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</row>
    <row r="142" spans="1:49" ht="16.5" customHeight="1">
      <c r="A142" s="74"/>
      <c r="B142" s="74"/>
      <c r="C142" s="74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</row>
    <row r="143" spans="1:49" ht="16.5" customHeight="1">
      <c r="A143" s="74"/>
      <c r="B143" s="74"/>
      <c r="C143" s="74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</row>
    <row r="144" spans="1:49" ht="16.5" customHeight="1">
      <c r="A144" s="74"/>
      <c r="B144" s="74"/>
      <c r="C144" s="74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</row>
    <row r="145" spans="1:49" ht="16.5" customHeight="1">
      <c r="A145" s="74"/>
      <c r="B145" s="74"/>
      <c r="C145" s="74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</row>
    <row r="146" spans="1:49" ht="16.5" customHeight="1">
      <c r="A146" s="74"/>
      <c r="B146" s="74"/>
      <c r="C146" s="74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</row>
    <row r="147" spans="1:49" ht="16.5" customHeight="1">
      <c r="A147" s="74"/>
      <c r="B147" s="74"/>
      <c r="C147" s="74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</row>
    <row r="148" spans="1:49" ht="16.5" customHeight="1">
      <c r="A148" s="74"/>
      <c r="B148" s="74"/>
      <c r="C148" s="74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</row>
    <row r="149" spans="1:49" ht="16.5" customHeight="1">
      <c r="A149" s="74"/>
      <c r="B149" s="74"/>
      <c r="C149" s="74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</row>
    <row r="150" spans="1:49" ht="16.5" customHeight="1">
      <c r="A150" s="74"/>
      <c r="B150" s="74"/>
      <c r="C150" s="74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</row>
    <row r="151" spans="1:49" ht="16.5" customHeight="1">
      <c r="A151" s="74"/>
      <c r="B151" s="74"/>
      <c r="C151" s="74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</row>
    <row r="152" spans="1:49" ht="16.5" customHeight="1">
      <c r="A152" s="74"/>
      <c r="B152" s="74"/>
      <c r="C152" s="74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</row>
    <row r="153" spans="1:49" ht="16.5" customHeight="1">
      <c r="A153" s="74"/>
      <c r="B153" s="74"/>
      <c r="C153" s="74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</row>
    <row r="154" spans="1:49" ht="16.5" customHeight="1">
      <c r="A154" s="74"/>
      <c r="B154" s="74"/>
      <c r="C154" s="74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</row>
    <row r="155" spans="1:49" ht="16.5" customHeight="1">
      <c r="A155" s="74"/>
      <c r="B155" s="74"/>
      <c r="C155" s="74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</row>
    <row r="156" spans="1:49" ht="16.5" customHeight="1">
      <c r="A156" s="74"/>
      <c r="B156" s="74"/>
      <c r="C156" s="74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</row>
    <row r="157" spans="1:49" ht="16.5" customHeight="1">
      <c r="A157" s="74"/>
      <c r="B157" s="74"/>
      <c r="C157" s="74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</row>
    <row r="158" spans="1:49" ht="16.5" customHeight="1">
      <c r="A158" s="74"/>
      <c r="B158" s="74"/>
      <c r="C158" s="74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</row>
    <row r="159" spans="1:49" ht="16.5" customHeight="1">
      <c r="A159" s="74"/>
      <c r="B159" s="74"/>
      <c r="C159" s="74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</row>
    <row r="160" spans="1:49" ht="16.5" customHeight="1">
      <c r="A160" s="74"/>
      <c r="B160" s="74"/>
      <c r="C160" s="74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</row>
    <row r="161" spans="1:49" ht="16.5" customHeight="1">
      <c r="A161" s="74"/>
      <c r="B161" s="74"/>
      <c r="C161" s="74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</row>
    <row r="162" spans="1:49" ht="16.5" customHeight="1">
      <c r="A162" s="74"/>
      <c r="B162" s="74"/>
      <c r="C162" s="74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</row>
    <row r="163" spans="1:49" ht="16.5" customHeight="1">
      <c r="A163" s="74"/>
      <c r="B163" s="74"/>
      <c r="C163" s="74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</row>
    <row r="164" spans="1:49" ht="16.5" customHeight="1">
      <c r="A164" s="74"/>
      <c r="B164" s="74"/>
      <c r="C164" s="74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</row>
    <row r="165" spans="1:49" ht="16.5" customHeight="1">
      <c r="A165" s="74"/>
      <c r="B165" s="74"/>
      <c r="C165" s="74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</row>
    <row r="166" spans="1:49" ht="16.5" customHeight="1">
      <c r="A166" s="74"/>
      <c r="B166" s="74"/>
      <c r="C166" s="74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</row>
    <row r="167" spans="1:49" ht="16.5" customHeight="1">
      <c r="A167" s="74"/>
      <c r="B167" s="74"/>
      <c r="C167" s="74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</row>
    <row r="168" spans="1:49" ht="16.5" customHeight="1">
      <c r="A168" s="74"/>
      <c r="B168" s="74"/>
      <c r="C168" s="74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</row>
    <row r="169" spans="1:49" ht="16.5" customHeight="1">
      <c r="A169" s="74"/>
      <c r="B169" s="74"/>
      <c r="C169" s="74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</row>
    <row r="170" spans="1:49" ht="16.5" customHeight="1">
      <c r="A170" s="74"/>
      <c r="B170" s="74"/>
      <c r="C170" s="74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</row>
    <row r="171" spans="1:49" ht="16.5" customHeight="1">
      <c r="A171" s="74"/>
      <c r="B171" s="74"/>
      <c r="C171" s="74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</row>
    <row r="172" spans="1:49" ht="16.5" customHeight="1">
      <c r="A172" s="74"/>
      <c r="B172" s="74"/>
      <c r="C172" s="74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</row>
    <row r="173" spans="1:49" ht="16.5" customHeight="1">
      <c r="A173" s="74"/>
      <c r="B173" s="74"/>
      <c r="C173" s="74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</row>
    <row r="174" spans="1:49" ht="16.5" customHeight="1">
      <c r="A174" s="74"/>
      <c r="B174" s="74"/>
      <c r="C174" s="74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</row>
    <row r="175" spans="1:49" ht="16.5" customHeight="1">
      <c r="A175" s="74"/>
      <c r="B175" s="74"/>
      <c r="C175" s="74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</row>
    <row r="176" spans="1:49" ht="16.5" customHeight="1">
      <c r="A176" s="74"/>
      <c r="B176" s="74"/>
      <c r="C176" s="74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</row>
    <row r="177" spans="1:49" ht="16.5" customHeight="1">
      <c r="A177" s="74"/>
      <c r="B177" s="74"/>
      <c r="C177" s="74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</row>
    <row r="178" spans="1:49" ht="16.5" customHeight="1">
      <c r="A178" s="74"/>
      <c r="B178" s="74"/>
      <c r="C178" s="74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</row>
    <row r="179" spans="1:49" ht="16.5" customHeight="1">
      <c r="A179" s="74"/>
      <c r="B179" s="74"/>
      <c r="C179" s="74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</row>
    <row r="180" spans="1:49" ht="16.5" customHeight="1">
      <c r="A180" s="74"/>
      <c r="B180" s="74"/>
      <c r="C180" s="74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</row>
    <row r="181" spans="1:49" ht="16.5" customHeight="1">
      <c r="A181" s="74"/>
      <c r="B181" s="74"/>
      <c r="C181" s="74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</row>
    <row r="182" spans="1:49" ht="16.5" customHeight="1">
      <c r="A182" s="74"/>
      <c r="B182" s="74"/>
      <c r="C182" s="74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</row>
    <row r="183" spans="1:49" ht="16.5" customHeight="1">
      <c r="A183" s="74"/>
      <c r="B183" s="74"/>
      <c r="C183" s="74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</row>
    <row r="184" spans="1:49" ht="16.5" customHeight="1">
      <c r="A184" s="74"/>
      <c r="B184" s="74"/>
      <c r="C184" s="74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</row>
    <row r="185" spans="1:49" ht="16.5" customHeight="1">
      <c r="A185" s="74"/>
      <c r="B185" s="74"/>
      <c r="C185" s="74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</row>
    <row r="186" spans="1:49" ht="16.5" customHeight="1">
      <c r="A186" s="74"/>
      <c r="B186" s="74"/>
      <c r="C186" s="74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</row>
    <row r="187" spans="1:49" ht="16.5" customHeight="1">
      <c r="A187" s="74"/>
      <c r="B187" s="74"/>
      <c r="C187" s="74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</row>
    <row r="188" spans="1:49" ht="16.5" customHeight="1">
      <c r="A188" s="74"/>
      <c r="B188" s="74"/>
      <c r="C188" s="74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</row>
    <row r="189" spans="1:49" ht="16.5" customHeight="1">
      <c r="A189" s="74"/>
      <c r="B189" s="74"/>
      <c r="C189" s="74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</row>
    <row r="190" spans="1:49" ht="16.5" customHeight="1">
      <c r="A190" s="74"/>
      <c r="B190" s="74"/>
      <c r="C190" s="74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</row>
    <row r="191" spans="1:49" ht="16.5" customHeight="1">
      <c r="A191" s="74"/>
      <c r="B191" s="74"/>
      <c r="C191" s="74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</row>
    <row r="192" spans="1:49" ht="16.5" customHeight="1">
      <c r="A192" s="74"/>
      <c r="B192" s="74"/>
      <c r="C192" s="74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</row>
    <row r="193" spans="1:49" ht="16.5" customHeight="1">
      <c r="A193" s="74"/>
      <c r="B193" s="74"/>
      <c r="C193" s="74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</row>
    <row r="194" spans="1:49" ht="16.5" customHeight="1">
      <c r="A194" s="74"/>
      <c r="B194" s="74"/>
      <c r="C194" s="74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</row>
    <row r="195" spans="1:49" ht="16.5" customHeight="1">
      <c r="A195" s="74"/>
      <c r="B195" s="74"/>
      <c r="C195" s="74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</row>
    <row r="196" spans="1:49" ht="16.5" customHeight="1">
      <c r="A196" s="74"/>
      <c r="B196" s="74"/>
      <c r="C196" s="74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</row>
    <row r="197" spans="1:49" ht="16.5" customHeight="1">
      <c r="A197" s="74"/>
      <c r="B197" s="74"/>
      <c r="C197" s="74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</row>
    <row r="198" spans="1:49" ht="16.5" customHeight="1">
      <c r="A198" s="74"/>
      <c r="B198" s="74"/>
      <c r="C198" s="74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</row>
    <row r="199" spans="1:49" ht="16.5" customHeight="1">
      <c r="A199" s="74"/>
      <c r="B199" s="74"/>
      <c r="C199" s="74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</row>
    <row r="200" spans="1:49" ht="16.5" customHeight="1">
      <c r="A200" s="74"/>
      <c r="B200" s="74"/>
      <c r="C200" s="74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</row>
    <row r="201" spans="1:49" ht="16.5" customHeight="1">
      <c r="A201" s="74"/>
      <c r="B201" s="74"/>
      <c r="C201" s="74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</row>
    <row r="202" spans="1:49" ht="16.5" customHeight="1">
      <c r="A202" s="74"/>
      <c r="B202" s="74"/>
      <c r="C202" s="74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</row>
    <row r="203" spans="1:49" ht="16.5" customHeight="1">
      <c r="A203" s="74"/>
      <c r="B203" s="74"/>
      <c r="C203" s="74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</row>
    <row r="204" spans="1:49" ht="16.5" customHeight="1">
      <c r="A204" s="74"/>
      <c r="B204" s="74"/>
      <c r="C204" s="74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</row>
    <row r="205" spans="1:49" ht="16.5" customHeight="1">
      <c r="A205" s="74"/>
      <c r="B205" s="74"/>
      <c r="C205" s="74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</row>
    <row r="206" spans="1:49" ht="16.5" customHeight="1">
      <c r="A206" s="74"/>
      <c r="B206" s="74"/>
      <c r="C206" s="74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</row>
    <row r="207" spans="1:49" ht="16.5" customHeight="1">
      <c r="A207" s="74"/>
      <c r="B207" s="74"/>
      <c r="C207" s="74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</row>
    <row r="208" spans="1:49" ht="16.5" customHeight="1">
      <c r="A208" s="74"/>
      <c r="B208" s="74"/>
      <c r="C208" s="74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</row>
    <row r="209" spans="1:49" ht="16.5" customHeight="1">
      <c r="A209" s="74"/>
      <c r="B209" s="74"/>
      <c r="C209" s="74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</row>
    <row r="210" spans="1:49" ht="16.5" customHeight="1">
      <c r="A210" s="74"/>
      <c r="B210" s="74"/>
      <c r="C210" s="74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</row>
    <row r="211" spans="1:49" ht="16.5" customHeight="1">
      <c r="A211" s="74"/>
      <c r="B211" s="74"/>
      <c r="C211" s="74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</row>
    <row r="212" spans="1:49" ht="16.5" customHeight="1">
      <c r="A212" s="74"/>
      <c r="B212" s="74"/>
      <c r="C212" s="74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</row>
    <row r="213" spans="1:49" ht="16.5" customHeight="1">
      <c r="A213" s="74"/>
      <c r="B213" s="74"/>
      <c r="C213" s="74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</row>
    <row r="214" spans="1:49" ht="16.5" customHeight="1">
      <c r="A214" s="74"/>
      <c r="B214" s="74"/>
      <c r="C214" s="74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</row>
    <row r="215" spans="1:49" ht="15.75" customHeight="1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</row>
    <row r="216" spans="1:49" ht="15.75" customHeight="1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</row>
    <row r="217" spans="1:49" ht="15.75" customHeight="1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</row>
    <row r="218" spans="1:49" ht="15.75" customHeight="1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</row>
    <row r="219" spans="1:49" ht="15.75" customHeight="1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</row>
    <row r="220" spans="1:49" ht="15.75" customHeight="1"/>
    <row r="221" spans="1:49" ht="15.75" customHeight="1"/>
    <row r="222" spans="1:49" ht="15.75" customHeight="1"/>
    <row r="223" spans="1:49" ht="15.75" customHeight="1"/>
    <row r="224" spans="1:49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2">
    <mergeCell ref="L3:M3"/>
    <mergeCell ref="N3:O3"/>
    <mergeCell ref="P3:Q3"/>
    <mergeCell ref="R3:S3"/>
    <mergeCell ref="T3:U3"/>
    <mergeCell ref="Z1:AA1"/>
    <mergeCell ref="AB1:AC1"/>
    <mergeCell ref="L1:M1"/>
    <mergeCell ref="N1:O1"/>
    <mergeCell ref="P1:Q1"/>
    <mergeCell ref="R1:S1"/>
    <mergeCell ref="T1:U1"/>
    <mergeCell ref="V1:W1"/>
    <mergeCell ref="X1:Y1"/>
    <mergeCell ref="AB2:AC2"/>
    <mergeCell ref="Z3:AA3"/>
    <mergeCell ref="AB3:AC3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V3:W3"/>
    <mergeCell ref="X3:Y3"/>
    <mergeCell ref="H3:I3"/>
    <mergeCell ref="H1:I1"/>
    <mergeCell ref="J1:K1"/>
    <mergeCell ref="D3:E3"/>
    <mergeCell ref="F3:G3"/>
    <mergeCell ref="A1:A4"/>
    <mergeCell ref="B1:B4"/>
    <mergeCell ref="C1:C4"/>
    <mergeCell ref="D1:E1"/>
    <mergeCell ref="F1:G1"/>
    <mergeCell ref="D2:E2"/>
    <mergeCell ref="F2:G2"/>
    <mergeCell ref="J3:K3"/>
  </mergeCells>
  <phoneticPr fontId="23" type="noConversion"/>
  <pageMargins left="0.70866141732283505" right="0.70866141732283505" top="0.74803149606299202" bottom="0.74803149606299202" header="0" footer="0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Y995"/>
  <sheetViews>
    <sheetView topLeftCell="D1" workbookViewId="0">
      <selection activeCell="R3" sqref="R3:S3"/>
    </sheetView>
  </sheetViews>
  <sheetFormatPr baseColWidth="10" defaultColWidth="11.1640625" defaultRowHeight="15" customHeight="1"/>
  <cols>
    <col min="1" max="1" width="13.1640625" customWidth="1"/>
    <col min="2" max="2" width="44.83203125" customWidth="1"/>
    <col min="3" max="3" width="7.1640625" customWidth="1"/>
    <col min="4" max="4" width="6.1640625" customWidth="1"/>
    <col min="5" max="5" width="8" bestFit="1" customWidth="1"/>
    <col min="6" max="7" width="6" customWidth="1"/>
    <col min="8" max="11" width="6.1640625" customWidth="1"/>
    <col min="12" max="12" width="5.6640625" customWidth="1"/>
    <col min="13" max="13" width="5.83203125" customWidth="1"/>
    <col min="14" max="14" width="6" customWidth="1"/>
    <col min="15" max="15" width="6.1640625" customWidth="1"/>
    <col min="16" max="17" width="7.5" customWidth="1"/>
    <col min="18" max="18" width="6.6640625" customWidth="1"/>
    <col min="19" max="19" width="7.33203125" customWidth="1"/>
    <col min="20" max="20" width="7.5" customWidth="1"/>
    <col min="21" max="21" width="5.83203125" customWidth="1"/>
    <col min="22" max="22" width="7.1640625" customWidth="1"/>
    <col min="23" max="23" width="7.5" customWidth="1"/>
    <col min="24" max="24" width="6.6640625" customWidth="1"/>
    <col min="25" max="25" width="6.1640625" customWidth="1"/>
    <col min="26" max="27" width="6.5" customWidth="1"/>
    <col min="28" max="28" width="5.6640625" customWidth="1"/>
    <col min="29" max="29" width="5.83203125" customWidth="1"/>
    <col min="30" max="31" width="6.1640625" customWidth="1"/>
    <col min="32" max="51" width="5.1640625" customWidth="1"/>
  </cols>
  <sheetData>
    <row r="1" spans="1:51" ht="15.75" customHeight="1">
      <c r="A1" s="131" t="s">
        <v>135</v>
      </c>
      <c r="B1" s="133" t="s">
        <v>136</v>
      </c>
      <c r="C1" s="131" t="s">
        <v>137</v>
      </c>
      <c r="D1" s="128" t="s">
        <v>138</v>
      </c>
      <c r="E1" s="129"/>
      <c r="F1" s="128" t="s">
        <v>138</v>
      </c>
      <c r="G1" s="129"/>
      <c r="H1" s="128" t="s">
        <v>138</v>
      </c>
      <c r="I1" s="129"/>
      <c r="J1" s="128" t="s">
        <v>138</v>
      </c>
      <c r="K1" s="129"/>
      <c r="L1" s="128" t="s">
        <v>138</v>
      </c>
      <c r="M1" s="129"/>
      <c r="N1" s="128" t="s">
        <v>138</v>
      </c>
      <c r="O1" s="129"/>
      <c r="P1" s="128" t="s">
        <v>138</v>
      </c>
      <c r="Q1" s="129"/>
      <c r="R1" s="128" t="s">
        <v>138</v>
      </c>
      <c r="S1" s="129"/>
      <c r="T1" s="128" t="s">
        <v>138</v>
      </c>
      <c r="U1" s="129"/>
      <c r="V1" s="128" t="s">
        <v>138</v>
      </c>
      <c r="W1" s="129"/>
      <c r="X1" s="128" t="s">
        <v>138</v>
      </c>
      <c r="Y1" s="129"/>
      <c r="Z1" s="128" t="s">
        <v>138</v>
      </c>
      <c r="AA1" s="129"/>
      <c r="AB1" s="128" t="s">
        <v>138</v>
      </c>
      <c r="AC1" s="129"/>
      <c r="AD1" s="128" t="s">
        <v>138</v>
      </c>
      <c r="AE1" s="129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</row>
    <row r="2" spans="1:51" ht="16.5" customHeight="1">
      <c r="A2" s="132"/>
      <c r="B2" s="132"/>
      <c r="C2" s="132"/>
      <c r="D2" s="130" t="s">
        <v>2</v>
      </c>
      <c r="E2" s="122"/>
      <c r="F2" s="130" t="s">
        <v>2</v>
      </c>
      <c r="G2" s="122"/>
      <c r="H2" s="130" t="s">
        <v>2</v>
      </c>
      <c r="I2" s="122"/>
      <c r="J2" s="192" t="s">
        <v>2</v>
      </c>
      <c r="K2" s="122"/>
      <c r="L2" s="130" t="s">
        <v>2</v>
      </c>
      <c r="M2" s="122"/>
      <c r="N2" s="130" t="s">
        <v>2</v>
      </c>
      <c r="O2" s="122"/>
      <c r="P2" s="123" t="s">
        <v>3</v>
      </c>
      <c r="Q2" s="122"/>
      <c r="R2" s="123" t="s">
        <v>3</v>
      </c>
      <c r="S2" s="122"/>
      <c r="T2" s="123" t="s">
        <v>3</v>
      </c>
      <c r="U2" s="122"/>
      <c r="V2" s="123" t="s">
        <v>3</v>
      </c>
      <c r="W2" s="122"/>
      <c r="X2" s="123" t="s">
        <v>3</v>
      </c>
      <c r="Y2" s="122"/>
      <c r="Z2" s="123" t="s">
        <v>3</v>
      </c>
      <c r="AA2" s="122"/>
      <c r="AB2" s="125" t="s">
        <v>4</v>
      </c>
      <c r="AC2" s="122"/>
      <c r="AD2" s="191" t="s">
        <v>5</v>
      </c>
      <c r="AE2" s="122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</row>
    <row r="3" spans="1:51" ht="15.75" customHeight="1">
      <c r="A3" s="132"/>
      <c r="B3" s="132"/>
      <c r="C3" s="132"/>
      <c r="D3" s="126" t="s">
        <v>44</v>
      </c>
      <c r="E3" s="127"/>
      <c r="F3" s="126" t="s">
        <v>45</v>
      </c>
      <c r="G3" s="127"/>
      <c r="H3" s="126" t="s">
        <v>46</v>
      </c>
      <c r="I3" s="127"/>
      <c r="J3" s="186" t="s">
        <v>47</v>
      </c>
      <c r="K3" s="127"/>
      <c r="L3" s="189" t="s">
        <v>48</v>
      </c>
      <c r="M3" s="135"/>
      <c r="N3" s="126" t="s">
        <v>49</v>
      </c>
      <c r="O3" s="127"/>
      <c r="P3" s="186" t="s">
        <v>50</v>
      </c>
      <c r="Q3" s="190"/>
      <c r="R3" s="134" t="s">
        <v>51</v>
      </c>
      <c r="S3" s="135"/>
      <c r="T3" s="126" t="s">
        <v>52</v>
      </c>
      <c r="U3" s="127"/>
      <c r="V3" s="126" t="s">
        <v>147</v>
      </c>
      <c r="W3" s="127"/>
      <c r="X3" s="126" t="s">
        <v>149</v>
      </c>
      <c r="Y3" s="127"/>
      <c r="Z3" s="126" t="s">
        <v>148</v>
      </c>
      <c r="AA3" s="127"/>
      <c r="AB3" s="126" t="s">
        <v>56</v>
      </c>
      <c r="AC3" s="127"/>
      <c r="AD3" s="126" t="s">
        <v>57</v>
      </c>
      <c r="AE3" s="127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</row>
    <row r="4" spans="1:51" ht="38.25" customHeight="1">
      <c r="A4" s="132"/>
      <c r="B4" s="132"/>
      <c r="C4" s="132"/>
      <c r="D4" s="86" t="s">
        <v>139</v>
      </c>
      <c r="E4" s="83" t="s">
        <v>140</v>
      </c>
      <c r="F4" s="86" t="s">
        <v>139</v>
      </c>
      <c r="G4" s="83" t="s">
        <v>140</v>
      </c>
      <c r="H4" s="86" t="s">
        <v>139</v>
      </c>
      <c r="I4" s="83" t="s">
        <v>140</v>
      </c>
      <c r="J4" s="86" t="s">
        <v>139</v>
      </c>
      <c r="K4" s="83" t="s">
        <v>140</v>
      </c>
      <c r="L4" s="86" t="s">
        <v>139</v>
      </c>
      <c r="M4" s="83" t="s">
        <v>140</v>
      </c>
      <c r="N4" s="86" t="s">
        <v>139</v>
      </c>
      <c r="O4" s="83" t="s">
        <v>140</v>
      </c>
      <c r="P4" s="86" t="s">
        <v>139</v>
      </c>
      <c r="Q4" s="83" t="s">
        <v>140</v>
      </c>
      <c r="R4" s="86" t="s">
        <v>139</v>
      </c>
      <c r="S4" s="83" t="s">
        <v>140</v>
      </c>
      <c r="T4" s="86" t="s">
        <v>139</v>
      </c>
      <c r="U4" s="83" t="s">
        <v>140</v>
      </c>
      <c r="V4" s="86" t="s">
        <v>139</v>
      </c>
      <c r="W4" s="83" t="s">
        <v>140</v>
      </c>
      <c r="X4" s="86" t="s">
        <v>139</v>
      </c>
      <c r="Y4" s="83" t="s">
        <v>140</v>
      </c>
      <c r="Z4" s="86" t="s">
        <v>139</v>
      </c>
      <c r="AA4" s="83" t="s">
        <v>140</v>
      </c>
      <c r="AB4" s="86" t="s">
        <v>139</v>
      </c>
      <c r="AC4" s="83" t="s">
        <v>140</v>
      </c>
      <c r="AD4" s="86" t="s">
        <v>139</v>
      </c>
      <c r="AE4" s="83" t="s">
        <v>140</v>
      </c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</row>
    <row r="5" spans="1:51" ht="16.5" customHeight="1">
      <c r="A5" s="96"/>
      <c r="B5" s="96"/>
      <c r="C5" s="96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</row>
    <row r="6" spans="1:51" ht="16.5" customHeight="1">
      <c r="A6" s="96"/>
      <c r="B6" s="96"/>
      <c r="C6" s="96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</row>
    <row r="7" spans="1:51" ht="16.5" customHeight="1">
      <c r="A7" s="96"/>
      <c r="B7" s="96"/>
      <c r="C7" s="96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</row>
    <row r="8" spans="1:51" ht="16.5" customHeight="1">
      <c r="A8" s="96"/>
      <c r="B8" s="96"/>
      <c r="C8" s="96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</row>
    <row r="9" spans="1:51" ht="16.5" customHeight="1">
      <c r="A9" s="96"/>
      <c r="B9" s="96"/>
      <c r="C9" s="96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</row>
    <row r="10" spans="1:51" ht="16.5" customHeight="1">
      <c r="A10" s="96"/>
      <c r="B10" s="96"/>
      <c r="C10" s="96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</row>
    <row r="11" spans="1:51" ht="16.5" customHeight="1">
      <c r="A11" s="96"/>
      <c r="B11" s="96"/>
      <c r="C11" s="96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</row>
    <row r="12" spans="1:51" ht="16.5" customHeight="1">
      <c r="A12" s="96"/>
      <c r="B12" s="96"/>
      <c r="C12" s="96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</row>
    <row r="13" spans="1:51" ht="16.5" customHeight="1">
      <c r="A13" s="96"/>
      <c r="B13" s="96"/>
      <c r="C13" s="96"/>
      <c r="D13" s="103">
        <f>SUM(D5:D12)</f>
        <v>0</v>
      </c>
      <c r="E13" s="103">
        <f t="shared" ref="E13:AE13" si="0">SUM(E5:E12)</f>
        <v>0</v>
      </c>
      <c r="F13" s="103">
        <f t="shared" si="0"/>
        <v>0</v>
      </c>
      <c r="G13" s="103">
        <f t="shared" si="0"/>
        <v>0</v>
      </c>
      <c r="H13" s="103">
        <f t="shared" si="0"/>
        <v>0</v>
      </c>
      <c r="I13" s="103">
        <f t="shared" si="0"/>
        <v>0</v>
      </c>
      <c r="J13" s="103">
        <f t="shared" si="0"/>
        <v>0</v>
      </c>
      <c r="K13" s="103">
        <f t="shared" si="0"/>
        <v>0</v>
      </c>
      <c r="L13" s="103">
        <f t="shared" si="0"/>
        <v>0</v>
      </c>
      <c r="M13" s="103">
        <f t="shared" si="0"/>
        <v>0</v>
      </c>
      <c r="N13" s="103">
        <f t="shared" si="0"/>
        <v>0</v>
      </c>
      <c r="O13" s="103">
        <f t="shared" si="0"/>
        <v>0</v>
      </c>
      <c r="P13" s="103">
        <f t="shared" si="0"/>
        <v>0</v>
      </c>
      <c r="Q13" s="103">
        <f t="shared" si="0"/>
        <v>0</v>
      </c>
      <c r="R13" s="103">
        <f t="shared" si="0"/>
        <v>0</v>
      </c>
      <c r="S13" s="103">
        <f t="shared" si="0"/>
        <v>0</v>
      </c>
      <c r="T13" s="103">
        <f t="shared" si="0"/>
        <v>0</v>
      </c>
      <c r="U13" s="103">
        <f t="shared" si="0"/>
        <v>0</v>
      </c>
      <c r="V13" s="103">
        <f t="shared" si="0"/>
        <v>0</v>
      </c>
      <c r="W13" s="103">
        <f t="shared" si="0"/>
        <v>0</v>
      </c>
      <c r="X13" s="103">
        <f t="shared" si="0"/>
        <v>0</v>
      </c>
      <c r="Y13" s="103">
        <f t="shared" si="0"/>
        <v>0</v>
      </c>
      <c r="Z13" s="103">
        <f t="shared" si="0"/>
        <v>0</v>
      </c>
      <c r="AA13" s="103">
        <f t="shared" si="0"/>
        <v>0</v>
      </c>
      <c r="AB13" s="103">
        <f t="shared" si="0"/>
        <v>0</v>
      </c>
      <c r="AC13" s="103">
        <f t="shared" si="0"/>
        <v>0</v>
      </c>
      <c r="AD13" s="103">
        <f t="shared" si="0"/>
        <v>0</v>
      </c>
      <c r="AE13" s="103">
        <f t="shared" si="0"/>
        <v>0</v>
      </c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</row>
    <row r="14" spans="1:51" ht="16.5" customHeight="1">
      <c r="A14" s="74"/>
      <c r="B14" s="74"/>
      <c r="C14" s="74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</row>
    <row r="15" spans="1:51" ht="16.5" customHeight="1">
      <c r="A15" s="74"/>
      <c r="B15" s="74"/>
      <c r="C15" s="74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</row>
    <row r="16" spans="1:51" ht="16.5" customHeight="1">
      <c r="A16" s="74"/>
      <c r="B16" s="74"/>
      <c r="C16" s="74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</row>
    <row r="17" spans="1:51" ht="16.5" customHeight="1">
      <c r="A17" s="74"/>
      <c r="B17" s="74"/>
      <c r="C17" s="74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</row>
    <row r="18" spans="1:51" ht="16.5" customHeight="1">
      <c r="A18" s="74"/>
      <c r="B18" s="74"/>
      <c r="C18" s="74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</row>
    <row r="19" spans="1:51" ht="16.5" customHeight="1">
      <c r="A19" s="74"/>
      <c r="B19" s="74"/>
      <c r="C19" s="74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</row>
    <row r="20" spans="1:51" ht="16.5" customHeight="1">
      <c r="A20" s="74"/>
      <c r="B20" s="74"/>
      <c r="C20" s="74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</row>
    <row r="21" spans="1:51" ht="16.5" customHeight="1">
      <c r="A21" s="74"/>
      <c r="B21" s="74"/>
      <c r="C21" s="74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</row>
    <row r="22" spans="1:51" ht="16.5" customHeight="1">
      <c r="A22" s="74"/>
      <c r="B22" s="74"/>
      <c r="C22" s="74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</row>
    <row r="23" spans="1:51" ht="16.5" customHeight="1">
      <c r="A23" s="74"/>
      <c r="B23" s="74"/>
      <c r="C23" s="74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</row>
    <row r="24" spans="1:51" ht="16.5" customHeight="1">
      <c r="A24" s="74"/>
      <c r="B24" s="74"/>
      <c r="C24" s="74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</row>
    <row r="25" spans="1:51" ht="16.5" customHeight="1">
      <c r="A25" s="74"/>
      <c r="B25" s="74"/>
      <c r="C25" s="74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</row>
    <row r="26" spans="1:51" ht="16.5" customHeight="1">
      <c r="A26" s="74"/>
      <c r="B26" s="74"/>
      <c r="C26" s="74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</row>
    <row r="27" spans="1:51" ht="16.5" customHeight="1">
      <c r="A27" s="74"/>
      <c r="B27" s="74"/>
      <c r="C27" s="74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</row>
    <row r="28" spans="1:51" ht="16.5" customHeight="1">
      <c r="A28" s="74"/>
      <c r="B28" s="74"/>
      <c r="C28" s="74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</row>
    <row r="29" spans="1:51" ht="16.5" customHeight="1">
      <c r="A29" s="74"/>
      <c r="B29" s="74"/>
      <c r="C29" s="74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</row>
    <row r="30" spans="1:51" ht="16.5" customHeight="1">
      <c r="A30" s="74"/>
      <c r="B30" s="74"/>
      <c r="C30" s="74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</row>
    <row r="31" spans="1:51" ht="16.5" customHeight="1">
      <c r="A31" s="74"/>
      <c r="B31" s="74"/>
      <c r="C31" s="74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</row>
    <row r="32" spans="1:51" ht="16.5" customHeight="1">
      <c r="A32" s="74"/>
      <c r="B32" s="74"/>
      <c r="C32" s="74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</row>
    <row r="33" spans="1:51" ht="16.5" customHeight="1">
      <c r="A33" s="74"/>
      <c r="B33" s="74"/>
      <c r="C33" s="74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</row>
    <row r="34" spans="1:51" ht="16.5" customHeight="1">
      <c r="A34" s="74"/>
      <c r="B34" s="74"/>
      <c r="C34" s="74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</row>
    <row r="35" spans="1:51" ht="16.5" customHeight="1">
      <c r="A35" s="74"/>
      <c r="B35" s="74"/>
      <c r="C35" s="74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</row>
    <row r="36" spans="1:51" ht="16.5" customHeight="1">
      <c r="A36" s="74"/>
      <c r="B36" s="74"/>
      <c r="C36" s="74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</row>
    <row r="37" spans="1:51" ht="16.5" customHeight="1">
      <c r="A37" s="74"/>
      <c r="B37" s="74"/>
      <c r="C37" s="74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</row>
    <row r="38" spans="1:51" ht="16.5" customHeight="1">
      <c r="A38" s="74"/>
      <c r="B38" s="74"/>
      <c r="C38" s="74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</row>
    <row r="39" spans="1:51" ht="16.5" customHeight="1">
      <c r="A39" s="74"/>
      <c r="B39" s="74"/>
      <c r="C39" s="74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</row>
    <row r="40" spans="1:51" ht="16.5" customHeight="1">
      <c r="A40" s="74"/>
      <c r="B40" s="74"/>
      <c r="C40" s="74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</row>
    <row r="41" spans="1:51" ht="16.5" customHeight="1">
      <c r="A41" s="74"/>
      <c r="B41" s="74"/>
      <c r="C41" s="74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</row>
    <row r="42" spans="1:51" ht="16.5" customHeight="1">
      <c r="A42" s="74"/>
      <c r="B42" s="74"/>
      <c r="C42" s="74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</row>
    <row r="43" spans="1:51" ht="16.5" customHeight="1">
      <c r="A43" s="74"/>
      <c r="B43" s="74"/>
      <c r="C43" s="74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</row>
    <row r="44" spans="1:51" ht="16.5" customHeight="1">
      <c r="A44" s="74"/>
      <c r="B44" s="74"/>
      <c r="C44" s="74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</row>
    <row r="45" spans="1:51" ht="16.5" customHeight="1">
      <c r="A45" s="74"/>
      <c r="B45" s="74"/>
      <c r="C45" s="74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</row>
    <row r="46" spans="1:51" ht="16.5" customHeight="1">
      <c r="A46" s="74"/>
      <c r="B46" s="74"/>
      <c r="C46" s="74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</row>
    <row r="47" spans="1:51" ht="16.5" customHeight="1">
      <c r="A47" s="74"/>
      <c r="B47" s="74"/>
      <c r="C47" s="74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</row>
    <row r="48" spans="1:51" ht="16.5" customHeight="1">
      <c r="A48" s="74"/>
      <c r="B48" s="74"/>
      <c r="C48" s="74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</row>
    <row r="49" spans="1:51" ht="16.5" customHeight="1">
      <c r="A49" s="74"/>
      <c r="B49" s="74"/>
      <c r="C49" s="74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</row>
    <row r="50" spans="1:51" ht="16.5" customHeight="1">
      <c r="A50" s="74"/>
      <c r="B50" s="74"/>
      <c r="C50" s="74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</row>
    <row r="51" spans="1:51" ht="16.5" customHeight="1">
      <c r="A51" s="74"/>
      <c r="B51" s="74"/>
      <c r="C51" s="74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</row>
    <row r="52" spans="1:51" ht="16.5" customHeight="1">
      <c r="A52" s="74"/>
      <c r="B52" s="74"/>
      <c r="C52" s="74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</row>
    <row r="53" spans="1:51" ht="16.5" customHeight="1">
      <c r="A53" s="74"/>
      <c r="B53" s="74"/>
      <c r="C53" s="74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</row>
    <row r="54" spans="1:51" ht="16.5" customHeight="1">
      <c r="A54" s="74"/>
      <c r="B54" s="74"/>
      <c r="C54" s="74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</row>
    <row r="55" spans="1:51" ht="16.5" customHeight="1">
      <c r="A55" s="74"/>
      <c r="B55" s="74"/>
      <c r="C55" s="74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</row>
    <row r="56" spans="1:51" ht="16.5" customHeight="1">
      <c r="A56" s="74"/>
      <c r="B56" s="74"/>
      <c r="C56" s="74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</row>
    <row r="57" spans="1:51" ht="16.5" customHeight="1">
      <c r="A57" s="74"/>
      <c r="B57" s="74"/>
      <c r="C57" s="74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</row>
    <row r="58" spans="1:51" ht="16.5" customHeight="1">
      <c r="A58" s="74"/>
      <c r="B58" s="74"/>
      <c r="C58" s="74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</row>
    <row r="59" spans="1:51" ht="16.5" customHeight="1">
      <c r="A59" s="74"/>
      <c r="B59" s="74"/>
      <c r="C59" s="74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</row>
    <row r="60" spans="1:51" ht="16.5" customHeight="1">
      <c r="A60" s="74"/>
      <c r="B60" s="74"/>
      <c r="C60" s="74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</row>
    <row r="61" spans="1:51" ht="16.5" customHeight="1">
      <c r="A61" s="74"/>
      <c r="B61" s="74"/>
      <c r="C61" s="74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</row>
    <row r="62" spans="1:51" ht="16.5" customHeight="1">
      <c r="A62" s="74"/>
      <c r="B62" s="74"/>
      <c r="C62" s="74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</row>
    <row r="63" spans="1:51" ht="16.5" customHeight="1">
      <c r="A63" s="74"/>
      <c r="B63" s="74"/>
      <c r="C63" s="74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</row>
    <row r="64" spans="1:51" ht="16.5" customHeight="1">
      <c r="A64" s="74"/>
      <c r="B64" s="74"/>
      <c r="C64" s="74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</row>
    <row r="65" spans="1:51" ht="16.5" customHeight="1">
      <c r="A65" s="74"/>
      <c r="B65" s="74"/>
      <c r="C65" s="74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</row>
    <row r="66" spans="1:51" ht="16.5" customHeight="1">
      <c r="A66" s="74"/>
      <c r="B66" s="74"/>
      <c r="C66" s="74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</row>
    <row r="67" spans="1:51" ht="16.5" customHeight="1">
      <c r="A67" s="74"/>
      <c r="B67" s="74"/>
      <c r="C67" s="74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</row>
    <row r="68" spans="1:51" ht="16.5" customHeight="1">
      <c r="A68" s="74"/>
      <c r="B68" s="74"/>
      <c r="C68" s="74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</row>
    <row r="69" spans="1:51" ht="16.5" customHeight="1">
      <c r="A69" s="74"/>
      <c r="B69" s="74"/>
      <c r="C69" s="74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</row>
    <row r="70" spans="1:51" ht="16.5" customHeight="1">
      <c r="A70" s="74"/>
      <c r="B70" s="74"/>
      <c r="C70" s="74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</row>
    <row r="71" spans="1:51" ht="16.5" customHeight="1">
      <c r="A71" s="74"/>
      <c r="B71" s="74"/>
      <c r="C71" s="74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</row>
    <row r="72" spans="1:51" ht="16.5" customHeight="1">
      <c r="A72" s="74"/>
      <c r="B72" s="74"/>
      <c r="C72" s="74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</row>
    <row r="73" spans="1:51" ht="16.5" customHeight="1">
      <c r="A73" s="74"/>
      <c r="B73" s="74"/>
      <c r="C73" s="74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</row>
    <row r="74" spans="1:51" ht="16.5" customHeight="1">
      <c r="A74" s="74"/>
      <c r="B74" s="74"/>
      <c r="C74" s="74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</row>
    <row r="75" spans="1:51" ht="16.5" customHeight="1">
      <c r="A75" s="74"/>
      <c r="B75" s="74"/>
      <c r="C75" s="74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</row>
    <row r="76" spans="1:51" ht="16.5" customHeight="1">
      <c r="A76" s="74"/>
      <c r="B76" s="74"/>
      <c r="C76" s="74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</row>
    <row r="77" spans="1:51" ht="16.5" customHeight="1">
      <c r="A77" s="74"/>
      <c r="B77" s="74"/>
      <c r="C77" s="74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</row>
    <row r="78" spans="1:51" ht="16.5" customHeight="1">
      <c r="A78" s="74"/>
      <c r="B78" s="74"/>
      <c r="C78" s="74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</row>
    <row r="79" spans="1:51" ht="16.5" customHeight="1">
      <c r="A79" s="74"/>
      <c r="B79" s="74"/>
      <c r="C79" s="74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</row>
    <row r="80" spans="1:51" ht="16.5" customHeight="1">
      <c r="A80" s="74"/>
      <c r="B80" s="74"/>
      <c r="C80" s="74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</row>
    <row r="81" spans="1:51" ht="16.5" customHeight="1">
      <c r="A81" s="74"/>
      <c r="B81" s="74"/>
      <c r="C81" s="74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</row>
    <row r="82" spans="1:51" ht="16.5" customHeight="1">
      <c r="A82" s="74"/>
      <c r="B82" s="74"/>
      <c r="C82" s="74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</row>
    <row r="83" spans="1:51" ht="16.5" customHeight="1">
      <c r="A83" s="74"/>
      <c r="B83" s="74"/>
      <c r="C83" s="74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</row>
    <row r="84" spans="1:51" ht="16.5" customHeight="1">
      <c r="A84" s="74"/>
      <c r="B84" s="74"/>
      <c r="C84" s="74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</row>
    <row r="85" spans="1:51" ht="16.5" customHeight="1">
      <c r="A85" s="74"/>
      <c r="B85" s="74"/>
      <c r="C85" s="74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</row>
    <row r="86" spans="1:51" ht="16.5" customHeight="1">
      <c r="A86" s="74"/>
      <c r="B86" s="74"/>
      <c r="C86" s="74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</row>
    <row r="87" spans="1:51" ht="16.5" customHeight="1">
      <c r="A87" s="74"/>
      <c r="B87" s="74"/>
      <c r="C87" s="74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</row>
    <row r="88" spans="1:51" ht="16.5" customHeight="1">
      <c r="A88" s="74"/>
      <c r="B88" s="74"/>
      <c r="C88" s="74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</row>
    <row r="89" spans="1:51" ht="16.5" customHeight="1">
      <c r="A89" s="74"/>
      <c r="B89" s="74"/>
      <c r="C89" s="74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</row>
    <row r="90" spans="1:51" ht="16.5" customHeight="1">
      <c r="A90" s="74"/>
      <c r="B90" s="74"/>
      <c r="C90" s="74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</row>
    <row r="91" spans="1:51" ht="16.5" customHeight="1">
      <c r="A91" s="74"/>
      <c r="B91" s="74"/>
      <c r="C91" s="74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</row>
    <row r="92" spans="1:51" ht="16.5" customHeight="1">
      <c r="A92" s="74"/>
      <c r="B92" s="74"/>
      <c r="C92" s="74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</row>
    <row r="93" spans="1:51" ht="16.5" customHeight="1">
      <c r="A93" s="74"/>
      <c r="B93" s="74"/>
      <c r="C93" s="74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</row>
    <row r="94" spans="1:51" ht="16.5" customHeight="1">
      <c r="A94" s="74"/>
      <c r="B94" s="74"/>
      <c r="C94" s="74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</row>
    <row r="95" spans="1:51" ht="16.5" customHeight="1">
      <c r="A95" s="74"/>
      <c r="B95" s="74"/>
      <c r="C95" s="74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</row>
    <row r="96" spans="1:51" ht="16.5" customHeight="1">
      <c r="A96" s="74"/>
      <c r="B96" s="74"/>
      <c r="C96" s="74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</row>
    <row r="97" spans="1:51" ht="16.5" customHeight="1">
      <c r="A97" s="74"/>
      <c r="B97" s="74"/>
      <c r="C97" s="74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</row>
    <row r="98" spans="1:51" ht="16.5" customHeight="1">
      <c r="A98" s="74"/>
      <c r="B98" s="74"/>
      <c r="C98" s="74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</row>
    <row r="99" spans="1:51" ht="16.5" customHeight="1">
      <c r="A99" s="74"/>
      <c r="B99" s="74"/>
      <c r="C99" s="74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</row>
    <row r="100" spans="1:51" ht="16.5" customHeight="1">
      <c r="A100" s="74"/>
      <c r="B100" s="74"/>
      <c r="C100" s="74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</row>
    <row r="101" spans="1:51" ht="16.5" customHeight="1">
      <c r="A101" s="74"/>
      <c r="B101" s="74"/>
      <c r="C101" s="74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</row>
    <row r="102" spans="1:51" ht="16.5" customHeight="1">
      <c r="A102" s="74"/>
      <c r="B102" s="74"/>
      <c r="C102" s="74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</row>
    <row r="103" spans="1:51" ht="16.5" customHeight="1">
      <c r="A103" s="74"/>
      <c r="B103" s="74"/>
      <c r="C103" s="74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</row>
    <row r="104" spans="1:51" ht="16.5" customHeight="1">
      <c r="A104" s="74"/>
      <c r="B104" s="74"/>
      <c r="C104" s="74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</row>
    <row r="105" spans="1:51" ht="16.5" customHeight="1">
      <c r="A105" s="74"/>
      <c r="B105" s="74"/>
      <c r="C105" s="74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</row>
    <row r="106" spans="1:51" ht="16.5" customHeight="1">
      <c r="A106" s="74"/>
      <c r="B106" s="74"/>
      <c r="C106" s="74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</row>
    <row r="107" spans="1:51" ht="16.5" customHeight="1">
      <c r="A107" s="74"/>
      <c r="B107" s="74"/>
      <c r="C107" s="74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</row>
    <row r="108" spans="1:51" ht="16.5" customHeight="1">
      <c r="A108" s="74"/>
      <c r="B108" s="74"/>
      <c r="C108" s="74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</row>
    <row r="109" spans="1:51" ht="16.5" customHeight="1">
      <c r="A109" s="74"/>
      <c r="B109" s="74"/>
      <c r="C109" s="74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</row>
    <row r="110" spans="1:51" ht="16.5" customHeight="1">
      <c r="A110" s="74"/>
      <c r="B110" s="74"/>
      <c r="C110" s="74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</row>
    <row r="111" spans="1:51" ht="16.5" customHeight="1">
      <c r="A111" s="74"/>
      <c r="B111" s="74"/>
      <c r="C111" s="74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</row>
    <row r="112" spans="1:51" ht="16.5" customHeight="1">
      <c r="A112" s="74"/>
      <c r="B112" s="74"/>
      <c r="C112" s="74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</row>
    <row r="113" spans="1:51" ht="16.5" customHeight="1">
      <c r="A113" s="74"/>
      <c r="B113" s="74"/>
      <c r="C113" s="74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</row>
    <row r="114" spans="1:51" ht="16.5" customHeight="1">
      <c r="A114" s="74"/>
      <c r="B114" s="74"/>
      <c r="C114" s="74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</row>
    <row r="115" spans="1:51" ht="16.5" customHeight="1">
      <c r="A115" s="74"/>
      <c r="B115" s="74"/>
      <c r="C115" s="74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</row>
    <row r="116" spans="1:51" ht="16.5" customHeight="1">
      <c r="A116" s="74"/>
      <c r="B116" s="74"/>
      <c r="C116" s="74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</row>
    <row r="117" spans="1:51" ht="16.5" customHeight="1">
      <c r="A117" s="74"/>
      <c r="B117" s="74"/>
      <c r="C117" s="74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</row>
    <row r="118" spans="1:51" ht="16.5" customHeight="1">
      <c r="A118" s="74"/>
      <c r="B118" s="74"/>
      <c r="C118" s="74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</row>
    <row r="119" spans="1:51" ht="16.5" customHeight="1">
      <c r="A119" s="74"/>
      <c r="B119" s="74"/>
      <c r="C119" s="74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</row>
    <row r="120" spans="1:51" ht="16.5" customHeight="1">
      <c r="A120" s="74"/>
      <c r="B120" s="74"/>
      <c r="C120" s="74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</row>
    <row r="121" spans="1:51" ht="16.5" customHeight="1">
      <c r="A121" s="74"/>
      <c r="B121" s="74"/>
      <c r="C121" s="74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</row>
    <row r="122" spans="1:51" ht="16.5" customHeight="1">
      <c r="A122" s="74"/>
      <c r="B122" s="74"/>
      <c r="C122" s="74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</row>
    <row r="123" spans="1:51" ht="16.5" customHeight="1">
      <c r="A123" s="74"/>
      <c r="B123" s="74"/>
      <c r="C123" s="74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</row>
    <row r="124" spans="1:51" ht="16.5" customHeight="1">
      <c r="A124" s="74"/>
      <c r="B124" s="74"/>
      <c r="C124" s="74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</row>
    <row r="125" spans="1:51" ht="16.5" customHeight="1">
      <c r="A125" s="74"/>
      <c r="B125" s="74"/>
      <c r="C125" s="74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</row>
    <row r="126" spans="1:51" ht="16.5" customHeight="1">
      <c r="A126" s="74"/>
      <c r="B126" s="74"/>
      <c r="C126" s="74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</row>
    <row r="127" spans="1:51" ht="16.5" customHeight="1">
      <c r="A127" s="74"/>
      <c r="B127" s="74"/>
      <c r="C127" s="74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</row>
    <row r="128" spans="1:51" ht="16.5" customHeight="1">
      <c r="A128" s="74"/>
      <c r="B128" s="74"/>
      <c r="C128" s="74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</row>
    <row r="129" spans="1:51" ht="16.5" customHeight="1">
      <c r="A129" s="74"/>
      <c r="B129" s="74"/>
      <c r="C129" s="74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</row>
    <row r="130" spans="1:51" ht="16.5" customHeight="1">
      <c r="A130" s="74"/>
      <c r="B130" s="74"/>
      <c r="C130" s="74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</row>
    <row r="131" spans="1:51" ht="16.5" customHeight="1">
      <c r="A131" s="74"/>
      <c r="B131" s="74"/>
      <c r="C131" s="74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</row>
    <row r="132" spans="1:51" ht="16.5" customHeight="1">
      <c r="A132" s="74"/>
      <c r="B132" s="74"/>
      <c r="C132" s="74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</row>
    <row r="133" spans="1:51" ht="16.5" customHeight="1">
      <c r="A133" s="74"/>
      <c r="B133" s="74"/>
      <c r="C133" s="74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</row>
    <row r="134" spans="1:51" ht="16.5" customHeight="1">
      <c r="A134" s="74"/>
      <c r="B134" s="74"/>
      <c r="C134" s="74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</row>
    <row r="135" spans="1:51" ht="16.5" customHeight="1">
      <c r="A135" s="74"/>
      <c r="B135" s="74"/>
      <c r="C135" s="74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</row>
    <row r="136" spans="1:51" ht="16.5" customHeight="1">
      <c r="A136" s="74"/>
      <c r="B136" s="74"/>
      <c r="C136" s="74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</row>
    <row r="137" spans="1:51" ht="16.5" customHeight="1">
      <c r="A137" s="74"/>
      <c r="B137" s="74"/>
      <c r="C137" s="74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</row>
    <row r="138" spans="1:51" ht="16.5" customHeight="1">
      <c r="A138" s="74"/>
      <c r="B138" s="74"/>
      <c r="C138" s="74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</row>
    <row r="139" spans="1:51" ht="16.5" customHeight="1">
      <c r="A139" s="74"/>
      <c r="B139" s="74"/>
      <c r="C139" s="74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</row>
    <row r="140" spans="1:51" ht="16.5" customHeight="1">
      <c r="A140" s="74"/>
      <c r="B140" s="74"/>
      <c r="C140" s="74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</row>
    <row r="141" spans="1:51" ht="16.5" customHeight="1">
      <c r="A141" s="74"/>
      <c r="B141" s="74"/>
      <c r="C141" s="74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</row>
    <row r="142" spans="1:51" ht="16.5" customHeight="1">
      <c r="A142" s="74"/>
      <c r="B142" s="74"/>
      <c r="C142" s="74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</row>
    <row r="143" spans="1:51" ht="16.5" customHeight="1">
      <c r="A143" s="74"/>
      <c r="B143" s="74"/>
      <c r="C143" s="74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</row>
    <row r="144" spans="1:51" ht="16.5" customHeight="1">
      <c r="A144" s="74"/>
      <c r="B144" s="74"/>
      <c r="C144" s="74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</row>
    <row r="145" spans="1:51" ht="16.5" customHeight="1">
      <c r="A145" s="74"/>
      <c r="B145" s="74"/>
      <c r="C145" s="74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</row>
    <row r="146" spans="1:51" ht="16.5" customHeight="1">
      <c r="A146" s="74"/>
      <c r="B146" s="74"/>
      <c r="C146" s="74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</row>
    <row r="147" spans="1:51" ht="16.5" customHeight="1">
      <c r="A147" s="74"/>
      <c r="B147" s="74"/>
      <c r="C147" s="74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</row>
    <row r="148" spans="1:51" ht="16.5" customHeight="1">
      <c r="A148" s="74"/>
      <c r="B148" s="74"/>
      <c r="C148" s="74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</row>
    <row r="149" spans="1:51" ht="16.5" customHeight="1">
      <c r="A149" s="74"/>
      <c r="B149" s="74"/>
      <c r="C149" s="74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</row>
    <row r="150" spans="1:51" ht="16.5" customHeight="1">
      <c r="A150" s="74"/>
      <c r="B150" s="74"/>
      <c r="C150" s="74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</row>
    <row r="151" spans="1:51" ht="16.5" customHeight="1">
      <c r="A151" s="74"/>
      <c r="B151" s="74"/>
      <c r="C151" s="74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</row>
    <row r="152" spans="1:51" ht="16.5" customHeight="1">
      <c r="A152" s="74"/>
      <c r="B152" s="74"/>
      <c r="C152" s="74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</row>
    <row r="153" spans="1:51" ht="16.5" customHeight="1">
      <c r="A153" s="74"/>
      <c r="B153" s="74"/>
      <c r="C153" s="74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</row>
    <row r="154" spans="1:51" ht="16.5" customHeight="1">
      <c r="A154" s="74"/>
      <c r="B154" s="74"/>
      <c r="C154" s="74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</row>
    <row r="155" spans="1:51" ht="16.5" customHeight="1">
      <c r="A155" s="74"/>
      <c r="B155" s="74"/>
      <c r="C155" s="74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</row>
    <row r="156" spans="1:51" ht="16.5" customHeight="1">
      <c r="A156" s="74"/>
      <c r="B156" s="74"/>
      <c r="C156" s="74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</row>
    <row r="157" spans="1:51" ht="16.5" customHeight="1">
      <c r="A157" s="74"/>
      <c r="B157" s="74"/>
      <c r="C157" s="74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</row>
    <row r="158" spans="1:51" ht="16.5" customHeight="1">
      <c r="A158" s="74"/>
      <c r="B158" s="74"/>
      <c r="C158" s="74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</row>
    <row r="159" spans="1:51" ht="16.5" customHeight="1">
      <c r="A159" s="74"/>
      <c r="B159" s="74"/>
      <c r="C159" s="74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</row>
    <row r="160" spans="1:51" ht="16.5" customHeight="1">
      <c r="A160" s="74"/>
      <c r="B160" s="74"/>
      <c r="C160" s="74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</row>
    <row r="161" spans="1:51" ht="16.5" customHeight="1">
      <c r="A161" s="74"/>
      <c r="B161" s="74"/>
      <c r="C161" s="74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</row>
    <row r="162" spans="1:51" ht="16.5" customHeight="1">
      <c r="A162" s="74"/>
      <c r="B162" s="74"/>
      <c r="C162" s="74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</row>
    <row r="163" spans="1:51" ht="16.5" customHeight="1">
      <c r="A163" s="74"/>
      <c r="B163" s="74"/>
      <c r="C163" s="74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</row>
    <row r="164" spans="1:51" ht="16.5" customHeight="1">
      <c r="A164" s="74"/>
      <c r="B164" s="74"/>
      <c r="C164" s="74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</row>
    <row r="165" spans="1:51" ht="16.5" customHeight="1">
      <c r="A165" s="74"/>
      <c r="B165" s="74"/>
      <c r="C165" s="74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</row>
    <row r="166" spans="1:51" ht="16.5" customHeight="1">
      <c r="A166" s="74"/>
      <c r="B166" s="74"/>
      <c r="C166" s="74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</row>
    <row r="167" spans="1:51" ht="16.5" customHeight="1">
      <c r="A167" s="74"/>
      <c r="B167" s="74"/>
      <c r="C167" s="74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</row>
    <row r="168" spans="1:51" ht="16.5" customHeight="1">
      <c r="A168" s="74"/>
      <c r="B168" s="74"/>
      <c r="C168" s="74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</row>
    <row r="169" spans="1:51" ht="16.5" customHeight="1">
      <c r="A169" s="74"/>
      <c r="B169" s="74"/>
      <c r="C169" s="74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</row>
    <row r="170" spans="1:51" ht="16.5" customHeight="1">
      <c r="A170" s="74"/>
      <c r="B170" s="74"/>
      <c r="C170" s="74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</row>
    <row r="171" spans="1:51" ht="16.5" customHeight="1">
      <c r="A171" s="74"/>
      <c r="B171" s="74"/>
      <c r="C171" s="74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</row>
    <row r="172" spans="1:51" ht="16.5" customHeight="1">
      <c r="A172" s="74"/>
      <c r="B172" s="74"/>
      <c r="C172" s="74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</row>
    <row r="173" spans="1:51" ht="16.5" customHeight="1">
      <c r="A173" s="74"/>
      <c r="B173" s="74"/>
      <c r="C173" s="74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</row>
    <row r="174" spans="1:51" ht="16.5" customHeight="1">
      <c r="A174" s="74"/>
      <c r="B174" s="74"/>
      <c r="C174" s="74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</row>
    <row r="175" spans="1:51" ht="16.5" customHeight="1">
      <c r="A175" s="74"/>
      <c r="B175" s="74"/>
      <c r="C175" s="74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</row>
    <row r="176" spans="1:51" ht="16.5" customHeight="1">
      <c r="A176" s="74"/>
      <c r="B176" s="74"/>
      <c r="C176" s="74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</row>
    <row r="177" spans="1:51" ht="16.5" customHeight="1">
      <c r="A177" s="74"/>
      <c r="B177" s="74"/>
      <c r="C177" s="74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</row>
    <row r="178" spans="1:51" ht="16.5" customHeight="1">
      <c r="A178" s="74"/>
      <c r="B178" s="74"/>
      <c r="C178" s="74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</row>
    <row r="179" spans="1:51" ht="16.5" customHeight="1">
      <c r="A179" s="74"/>
      <c r="B179" s="74"/>
      <c r="C179" s="74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</row>
    <row r="180" spans="1:51" ht="16.5" customHeight="1">
      <c r="A180" s="74"/>
      <c r="B180" s="74"/>
      <c r="C180" s="74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</row>
    <row r="181" spans="1:51" ht="16.5" customHeight="1">
      <c r="A181" s="74"/>
      <c r="B181" s="74"/>
      <c r="C181" s="74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</row>
    <row r="182" spans="1:51" ht="16.5" customHeight="1">
      <c r="A182" s="74"/>
      <c r="B182" s="74"/>
      <c r="C182" s="74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</row>
    <row r="183" spans="1:51" ht="16.5" customHeight="1">
      <c r="A183" s="74"/>
      <c r="B183" s="74"/>
      <c r="C183" s="74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</row>
    <row r="184" spans="1:51" ht="16.5" customHeight="1">
      <c r="A184" s="74"/>
      <c r="B184" s="74"/>
      <c r="C184" s="74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</row>
    <row r="185" spans="1:51" ht="16.5" customHeight="1">
      <c r="A185" s="74"/>
      <c r="B185" s="74"/>
      <c r="C185" s="74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</row>
    <row r="186" spans="1:51" ht="16.5" customHeight="1">
      <c r="A186" s="74"/>
      <c r="B186" s="74"/>
      <c r="C186" s="74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</row>
    <row r="187" spans="1:51" ht="16.5" customHeight="1">
      <c r="A187" s="74"/>
      <c r="B187" s="74"/>
      <c r="C187" s="74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</row>
    <row r="188" spans="1:51" ht="16.5" customHeight="1">
      <c r="A188" s="74"/>
      <c r="B188" s="74"/>
      <c r="C188" s="74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</row>
    <row r="189" spans="1:51" ht="16.5" customHeight="1">
      <c r="A189" s="74"/>
      <c r="B189" s="74"/>
      <c r="C189" s="74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</row>
    <row r="190" spans="1:51" ht="16.5" customHeight="1">
      <c r="A190" s="74"/>
      <c r="B190" s="74"/>
      <c r="C190" s="74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</row>
    <row r="191" spans="1:51" ht="16.5" customHeight="1">
      <c r="A191" s="74"/>
      <c r="B191" s="74"/>
      <c r="C191" s="74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</row>
    <row r="192" spans="1:51" ht="16.5" customHeight="1">
      <c r="A192" s="74"/>
      <c r="B192" s="74"/>
      <c r="C192" s="74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</row>
    <row r="193" spans="1:51" ht="16.5" customHeight="1">
      <c r="A193" s="74"/>
      <c r="B193" s="74"/>
      <c r="C193" s="74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</row>
    <row r="194" spans="1:51" ht="16.5" customHeight="1">
      <c r="A194" s="74"/>
      <c r="B194" s="74"/>
      <c r="C194" s="74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</row>
    <row r="195" spans="1:51" ht="16.5" customHeight="1">
      <c r="A195" s="74"/>
      <c r="B195" s="74"/>
      <c r="C195" s="74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</row>
    <row r="196" spans="1:51" ht="16.5" customHeight="1">
      <c r="A196" s="74"/>
      <c r="B196" s="74"/>
      <c r="C196" s="74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</row>
    <row r="197" spans="1:51" ht="16.5" customHeight="1">
      <c r="A197" s="74"/>
      <c r="B197" s="74"/>
      <c r="C197" s="74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</row>
    <row r="198" spans="1:51" ht="16.5" customHeight="1">
      <c r="A198" s="74"/>
      <c r="B198" s="74"/>
      <c r="C198" s="74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</row>
    <row r="199" spans="1:51" ht="16.5" customHeight="1">
      <c r="A199" s="74"/>
      <c r="B199" s="74"/>
      <c r="C199" s="74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</row>
    <row r="200" spans="1:51" ht="16.5" customHeight="1">
      <c r="A200" s="74"/>
      <c r="B200" s="74"/>
      <c r="C200" s="74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</row>
    <row r="201" spans="1:51" ht="16.5" customHeight="1">
      <c r="A201" s="74"/>
      <c r="B201" s="74"/>
      <c r="C201" s="74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</row>
    <row r="202" spans="1:51" ht="16.5" customHeight="1">
      <c r="A202" s="74"/>
      <c r="B202" s="74"/>
      <c r="C202" s="74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</row>
    <row r="203" spans="1:51" ht="16.5" customHeight="1">
      <c r="A203" s="74"/>
      <c r="B203" s="74"/>
      <c r="C203" s="74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</row>
    <row r="204" spans="1:51" ht="16.5" customHeight="1">
      <c r="A204" s="74"/>
      <c r="B204" s="74"/>
      <c r="C204" s="74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</row>
    <row r="205" spans="1:51" ht="16.5" customHeight="1">
      <c r="A205" s="74"/>
      <c r="B205" s="74"/>
      <c r="C205" s="74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</row>
    <row r="206" spans="1:51" ht="16.5" customHeight="1">
      <c r="A206" s="74"/>
      <c r="B206" s="74"/>
      <c r="C206" s="74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</row>
    <row r="207" spans="1:51" ht="16.5" customHeight="1">
      <c r="A207" s="74"/>
      <c r="B207" s="74"/>
      <c r="C207" s="74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</row>
    <row r="208" spans="1:51" ht="16.5" customHeight="1">
      <c r="A208" s="74"/>
      <c r="B208" s="74"/>
      <c r="C208" s="74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</row>
    <row r="209" spans="1:51" ht="16.5" customHeight="1">
      <c r="A209" s="74"/>
      <c r="B209" s="74"/>
      <c r="C209" s="74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</row>
    <row r="210" spans="1:51" ht="16.5" customHeight="1">
      <c r="A210" s="74"/>
      <c r="B210" s="74"/>
      <c r="C210" s="74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</row>
    <row r="211" spans="1:51" ht="15.75" customHeight="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</row>
    <row r="212" spans="1:51" ht="15.75" customHeight="1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</row>
    <row r="213" spans="1:51" ht="15.75" customHeight="1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</row>
    <row r="214" spans="1:51" ht="15.75" customHeight="1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</row>
    <row r="215" spans="1:51" ht="15.75" customHeight="1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</row>
    <row r="216" spans="1:51" ht="15.75" customHeight="1"/>
    <row r="217" spans="1:51" ht="15.75" customHeight="1"/>
    <row r="218" spans="1:51" ht="15.75" customHeight="1"/>
    <row r="219" spans="1:51" ht="15.75" customHeight="1"/>
    <row r="220" spans="1:51" ht="15.75" customHeight="1"/>
    <row r="221" spans="1:51" ht="15.75" customHeight="1"/>
    <row r="222" spans="1:51" ht="15.75" customHeight="1"/>
    <row r="223" spans="1:51" ht="15.75" customHeight="1"/>
    <row r="224" spans="1:5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45">
    <mergeCell ref="AD1:AE1"/>
    <mergeCell ref="L1:M1"/>
    <mergeCell ref="N1:O1"/>
    <mergeCell ref="P1:Q1"/>
    <mergeCell ref="R1:S1"/>
    <mergeCell ref="T1:U1"/>
    <mergeCell ref="V1:W1"/>
    <mergeCell ref="X1:Y1"/>
    <mergeCell ref="AD2:AE2"/>
    <mergeCell ref="Z3:AA3"/>
    <mergeCell ref="AB3:AC3"/>
    <mergeCell ref="AD3:AE3"/>
    <mergeCell ref="D2:E2"/>
    <mergeCell ref="F2:G2"/>
    <mergeCell ref="V2:W2"/>
    <mergeCell ref="X2:Y2"/>
    <mergeCell ref="Z2:AA2"/>
    <mergeCell ref="H2:I2"/>
    <mergeCell ref="J2:K2"/>
    <mergeCell ref="L2:M2"/>
    <mergeCell ref="N2:O2"/>
    <mergeCell ref="P2:Q2"/>
    <mergeCell ref="R2:S2"/>
    <mergeCell ref="T2:U2"/>
    <mergeCell ref="H1:I1"/>
    <mergeCell ref="J1:K1"/>
    <mergeCell ref="D3:E3"/>
    <mergeCell ref="F3:G3"/>
    <mergeCell ref="AB2:AC2"/>
    <mergeCell ref="Z1:AA1"/>
    <mergeCell ref="AB1:AC1"/>
    <mergeCell ref="V3:W3"/>
    <mergeCell ref="X3:Y3"/>
    <mergeCell ref="H3:I3"/>
    <mergeCell ref="J3:K3"/>
    <mergeCell ref="L3:M3"/>
    <mergeCell ref="N3:O3"/>
    <mergeCell ref="P3:Q3"/>
    <mergeCell ref="R3:S3"/>
    <mergeCell ref="T3:U3"/>
    <mergeCell ref="A1:A4"/>
    <mergeCell ref="B1:B4"/>
    <mergeCell ref="C1:C4"/>
    <mergeCell ref="D1:E1"/>
    <mergeCell ref="F1:G1"/>
  </mergeCells>
  <phoneticPr fontId="23" type="noConversion"/>
  <pageMargins left="0.70866141732283505" right="0.70866141732283505" top="0.74803149606299202" bottom="0.74803149606299202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Y1000"/>
  <sheetViews>
    <sheetView workbookViewId="0">
      <selection activeCell="AB3" sqref="AB3:AC3"/>
    </sheetView>
  </sheetViews>
  <sheetFormatPr baseColWidth="10" defaultColWidth="11.1640625" defaultRowHeight="15" customHeight="1"/>
  <cols>
    <col min="1" max="1" width="13.6640625" customWidth="1"/>
    <col min="2" max="2" width="54.6640625" customWidth="1"/>
    <col min="3" max="3" width="7.1640625" customWidth="1"/>
    <col min="4" max="4" width="5.6640625" customWidth="1"/>
    <col min="5" max="5" width="8" bestFit="1" customWidth="1"/>
    <col min="6" max="6" width="6.1640625" customWidth="1"/>
    <col min="7" max="7" width="6.6640625" bestFit="1" customWidth="1"/>
    <col min="8" max="8" width="5.83203125" customWidth="1"/>
    <col min="9" max="9" width="6.1640625" customWidth="1"/>
    <col min="10" max="10" width="5.6640625" customWidth="1"/>
    <col min="11" max="11" width="8" bestFit="1" customWidth="1"/>
    <col min="12" max="12" width="4.1640625" bestFit="1" customWidth="1"/>
    <col min="13" max="13" width="6.6640625" bestFit="1" customWidth="1"/>
    <col min="14" max="14" width="5.33203125" customWidth="1"/>
    <col min="15" max="15" width="6.6640625" bestFit="1" customWidth="1"/>
    <col min="16" max="16" width="6.1640625" customWidth="1"/>
    <col min="17" max="17" width="8" bestFit="1" customWidth="1"/>
    <col min="18" max="18" width="6.1640625" customWidth="1"/>
    <col min="19" max="20" width="6.5" customWidth="1"/>
    <col min="21" max="21" width="7.33203125" customWidth="1"/>
    <col min="22" max="22" width="6.83203125" customWidth="1"/>
    <col min="23" max="23" width="6.1640625" customWidth="1"/>
    <col min="24" max="24" width="5.83203125" customWidth="1"/>
    <col min="25" max="25" width="6.6640625" customWidth="1"/>
    <col min="26" max="26" width="6.83203125" customWidth="1"/>
    <col min="27" max="27" width="6.6640625" bestFit="1" customWidth="1"/>
    <col min="28" max="28" width="6" customWidth="1"/>
    <col min="29" max="29" width="6.6640625" bestFit="1" customWidth="1"/>
    <col min="30" max="30" width="5.6640625" customWidth="1"/>
    <col min="31" max="31" width="6.6640625" bestFit="1" customWidth="1"/>
    <col min="32" max="51" width="5.1640625" customWidth="1"/>
  </cols>
  <sheetData>
    <row r="1" spans="1:51" ht="15.75" customHeight="1">
      <c r="A1" s="193" t="s">
        <v>135</v>
      </c>
      <c r="B1" s="133" t="s">
        <v>136</v>
      </c>
      <c r="C1" s="167" t="s">
        <v>137</v>
      </c>
      <c r="D1" s="169" t="s">
        <v>138</v>
      </c>
      <c r="E1" s="129"/>
      <c r="F1" s="128" t="s">
        <v>138</v>
      </c>
      <c r="G1" s="129"/>
      <c r="H1" s="128" t="s">
        <v>138</v>
      </c>
      <c r="I1" s="129"/>
      <c r="J1" s="128" t="s">
        <v>138</v>
      </c>
      <c r="K1" s="129"/>
      <c r="L1" s="128" t="s">
        <v>138</v>
      </c>
      <c r="M1" s="129"/>
      <c r="N1" s="128" t="s">
        <v>138</v>
      </c>
      <c r="O1" s="129"/>
      <c r="P1" s="128" t="s">
        <v>138</v>
      </c>
      <c r="Q1" s="129"/>
      <c r="R1" s="128" t="s">
        <v>138</v>
      </c>
      <c r="S1" s="129"/>
      <c r="T1" s="128" t="s">
        <v>138</v>
      </c>
      <c r="U1" s="129"/>
      <c r="V1" s="128" t="s">
        <v>138</v>
      </c>
      <c r="W1" s="129"/>
      <c r="X1" s="128" t="s">
        <v>138</v>
      </c>
      <c r="Y1" s="129"/>
      <c r="Z1" s="128" t="s">
        <v>138</v>
      </c>
      <c r="AA1" s="129"/>
      <c r="AB1" s="128" t="s">
        <v>138</v>
      </c>
      <c r="AC1" s="129"/>
      <c r="AD1" s="128" t="s">
        <v>138</v>
      </c>
      <c r="AE1" s="129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</row>
    <row r="2" spans="1:51" ht="16.5" customHeight="1">
      <c r="A2" s="132"/>
      <c r="B2" s="132"/>
      <c r="C2" s="127"/>
      <c r="D2" s="192" t="s">
        <v>2</v>
      </c>
      <c r="E2" s="122"/>
      <c r="F2" s="130" t="s">
        <v>2</v>
      </c>
      <c r="G2" s="122"/>
      <c r="H2" s="130" t="s">
        <v>2</v>
      </c>
      <c r="I2" s="122"/>
      <c r="J2" s="130" t="s">
        <v>2</v>
      </c>
      <c r="K2" s="122"/>
      <c r="L2" s="130" t="s">
        <v>2</v>
      </c>
      <c r="M2" s="122"/>
      <c r="N2" s="130" t="s">
        <v>2</v>
      </c>
      <c r="O2" s="122"/>
      <c r="P2" s="123" t="s">
        <v>3</v>
      </c>
      <c r="Q2" s="122"/>
      <c r="R2" s="123" t="s">
        <v>3</v>
      </c>
      <c r="S2" s="122"/>
      <c r="T2" s="123" t="s">
        <v>3</v>
      </c>
      <c r="U2" s="122"/>
      <c r="V2" s="123" t="s">
        <v>3</v>
      </c>
      <c r="W2" s="122"/>
      <c r="X2" s="123" t="s">
        <v>3</v>
      </c>
      <c r="Y2" s="122"/>
      <c r="Z2" s="123" t="s">
        <v>3</v>
      </c>
      <c r="AA2" s="122"/>
      <c r="AB2" s="123" t="s">
        <v>3</v>
      </c>
      <c r="AC2" s="122"/>
      <c r="AD2" s="125" t="s">
        <v>4</v>
      </c>
      <c r="AE2" s="122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</row>
    <row r="3" spans="1:51" ht="15.75" customHeight="1">
      <c r="A3" s="132"/>
      <c r="B3" s="132"/>
      <c r="C3" s="127"/>
      <c r="D3" s="186" t="s">
        <v>59</v>
      </c>
      <c r="E3" s="127"/>
      <c r="F3" s="126" t="s">
        <v>60</v>
      </c>
      <c r="G3" s="127"/>
      <c r="H3" s="126" t="s">
        <v>61</v>
      </c>
      <c r="I3" s="127"/>
      <c r="J3" s="126" t="s">
        <v>62</v>
      </c>
      <c r="K3" s="127"/>
      <c r="L3" s="194" t="s">
        <v>63</v>
      </c>
      <c r="M3" s="127"/>
      <c r="N3" s="134" t="s">
        <v>64</v>
      </c>
      <c r="O3" s="135"/>
      <c r="P3" s="126" t="s">
        <v>65</v>
      </c>
      <c r="Q3" s="127"/>
      <c r="R3" s="126" t="s">
        <v>66</v>
      </c>
      <c r="S3" s="127"/>
      <c r="T3" s="126" t="s">
        <v>150</v>
      </c>
      <c r="U3" s="127"/>
      <c r="V3" s="126" t="s">
        <v>151</v>
      </c>
      <c r="W3" s="127"/>
      <c r="X3" s="126" t="s">
        <v>69</v>
      </c>
      <c r="Y3" s="127"/>
      <c r="Z3" s="126" t="s">
        <v>70</v>
      </c>
      <c r="AA3" s="127"/>
      <c r="AB3" s="134" t="s">
        <v>71</v>
      </c>
      <c r="AC3" s="135"/>
      <c r="AD3" s="126" t="s">
        <v>72</v>
      </c>
      <c r="AE3" s="127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</row>
    <row r="4" spans="1:51" ht="37.5" customHeight="1">
      <c r="A4" s="132"/>
      <c r="B4" s="132"/>
      <c r="C4" s="127"/>
      <c r="D4" s="82" t="s">
        <v>139</v>
      </c>
      <c r="E4" s="83" t="s">
        <v>140</v>
      </c>
      <c r="F4" s="82" t="s">
        <v>139</v>
      </c>
      <c r="G4" s="83" t="s">
        <v>140</v>
      </c>
      <c r="H4" s="86" t="s">
        <v>139</v>
      </c>
      <c r="I4" s="83" t="s">
        <v>140</v>
      </c>
      <c r="J4" s="86" t="s">
        <v>139</v>
      </c>
      <c r="K4" s="83" t="s">
        <v>140</v>
      </c>
      <c r="L4" s="82" t="s">
        <v>139</v>
      </c>
      <c r="M4" s="83" t="s">
        <v>140</v>
      </c>
      <c r="N4" s="82" t="s">
        <v>139</v>
      </c>
      <c r="O4" s="83" t="s">
        <v>140</v>
      </c>
      <c r="P4" s="82" t="s">
        <v>139</v>
      </c>
      <c r="Q4" s="83" t="s">
        <v>140</v>
      </c>
      <c r="R4" s="82" t="s">
        <v>139</v>
      </c>
      <c r="S4" s="83" t="s">
        <v>140</v>
      </c>
      <c r="T4" s="82" t="s">
        <v>139</v>
      </c>
      <c r="U4" s="83" t="s">
        <v>140</v>
      </c>
      <c r="V4" s="82" t="s">
        <v>139</v>
      </c>
      <c r="W4" s="83" t="s">
        <v>140</v>
      </c>
      <c r="X4" s="82" t="s">
        <v>139</v>
      </c>
      <c r="Y4" s="83" t="s">
        <v>140</v>
      </c>
      <c r="Z4" s="82" t="s">
        <v>139</v>
      </c>
      <c r="AA4" s="83" t="s">
        <v>140</v>
      </c>
      <c r="AB4" s="82" t="s">
        <v>139</v>
      </c>
      <c r="AC4" s="83" t="s">
        <v>140</v>
      </c>
      <c r="AD4" s="82" t="s">
        <v>139</v>
      </c>
      <c r="AE4" s="83" t="s">
        <v>140</v>
      </c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</row>
    <row r="5" spans="1:51" ht="16.5" customHeight="1">
      <c r="A5" s="99"/>
      <c r="B5" s="99"/>
      <c r="C5" s="99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</row>
    <row r="6" spans="1:51" ht="16.5" customHeight="1">
      <c r="A6" s="99"/>
      <c r="B6" s="99"/>
      <c r="C6" s="99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</row>
    <row r="7" spans="1:51" ht="16.5" customHeight="1">
      <c r="A7" s="99"/>
      <c r="B7" s="99"/>
      <c r="C7" s="99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</row>
    <row r="8" spans="1:51" ht="16.5" customHeight="1">
      <c r="A8" s="99"/>
      <c r="B8" s="99"/>
      <c r="C8" s="99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</row>
    <row r="9" spans="1:51" ht="16.5" customHeight="1">
      <c r="A9" s="99"/>
      <c r="B9" s="99"/>
      <c r="C9" s="99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</row>
    <row r="10" spans="1:51" ht="16.5" customHeight="1">
      <c r="A10" s="99"/>
      <c r="B10" s="99"/>
      <c r="C10" s="99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</row>
    <row r="11" spans="1:51" s="102" customFormat="1" ht="16.5" customHeight="1">
      <c r="A11" s="99"/>
      <c r="B11" s="99"/>
      <c r="C11" s="99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</row>
    <row r="12" spans="1:51" ht="16.5" customHeight="1">
      <c r="A12" s="99"/>
      <c r="B12" s="99"/>
      <c r="C12" s="99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</row>
    <row r="13" spans="1:51" ht="16.5" customHeight="1">
      <c r="A13" s="99"/>
      <c r="B13" s="99"/>
      <c r="C13" s="99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</row>
    <row r="14" spans="1:51" ht="16.5" customHeight="1">
      <c r="A14" s="99"/>
      <c r="B14" s="99"/>
      <c r="C14" s="99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</row>
    <row r="15" spans="1:51" ht="16.5" customHeight="1">
      <c r="A15" s="99"/>
      <c r="B15" s="99"/>
      <c r="C15" s="99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</row>
    <row r="16" spans="1:51" ht="16.5" customHeight="1">
      <c r="A16" s="99"/>
      <c r="B16" s="99"/>
      <c r="C16" s="99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</row>
    <row r="17" spans="1:51" ht="16.5" customHeight="1">
      <c r="A17" s="99"/>
      <c r="B17" s="99"/>
      <c r="C17" s="99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</row>
    <row r="18" spans="1:51" ht="16.5" customHeight="1">
      <c r="A18" s="94"/>
      <c r="B18" s="94"/>
      <c r="C18" s="95"/>
      <c r="D18" s="104">
        <f>SUM(D5:D17)</f>
        <v>0</v>
      </c>
      <c r="E18" s="104">
        <f t="shared" ref="E18:AE18" si="0">SUM(E5:E17)</f>
        <v>0</v>
      </c>
      <c r="F18" s="104">
        <f t="shared" si="0"/>
        <v>0</v>
      </c>
      <c r="G18" s="104">
        <f t="shared" si="0"/>
        <v>0</v>
      </c>
      <c r="H18" s="104">
        <f t="shared" si="0"/>
        <v>0</v>
      </c>
      <c r="I18" s="104">
        <f t="shared" si="0"/>
        <v>0</v>
      </c>
      <c r="J18" s="104">
        <f t="shared" si="0"/>
        <v>0</v>
      </c>
      <c r="K18" s="104">
        <f t="shared" si="0"/>
        <v>0</v>
      </c>
      <c r="L18" s="104">
        <f t="shared" si="0"/>
        <v>0</v>
      </c>
      <c r="M18" s="104">
        <f t="shared" si="0"/>
        <v>0</v>
      </c>
      <c r="N18" s="104">
        <f t="shared" si="0"/>
        <v>0</v>
      </c>
      <c r="O18" s="104">
        <f t="shared" si="0"/>
        <v>0</v>
      </c>
      <c r="P18" s="104">
        <f t="shared" si="0"/>
        <v>0</v>
      </c>
      <c r="Q18" s="104">
        <f t="shared" si="0"/>
        <v>0</v>
      </c>
      <c r="R18" s="104">
        <f t="shared" si="0"/>
        <v>0</v>
      </c>
      <c r="S18" s="104">
        <f t="shared" si="0"/>
        <v>0</v>
      </c>
      <c r="T18" s="104">
        <f t="shared" si="0"/>
        <v>0</v>
      </c>
      <c r="U18" s="104">
        <f t="shared" si="0"/>
        <v>0</v>
      </c>
      <c r="V18" s="104">
        <f t="shared" si="0"/>
        <v>0</v>
      </c>
      <c r="W18" s="104">
        <f t="shared" si="0"/>
        <v>0</v>
      </c>
      <c r="X18" s="104">
        <f t="shared" si="0"/>
        <v>0</v>
      </c>
      <c r="Y18" s="104">
        <f t="shared" si="0"/>
        <v>0</v>
      </c>
      <c r="Z18" s="104">
        <f t="shared" si="0"/>
        <v>0</v>
      </c>
      <c r="AA18" s="104">
        <f t="shared" si="0"/>
        <v>0</v>
      </c>
      <c r="AB18" s="104">
        <f t="shared" si="0"/>
        <v>0</v>
      </c>
      <c r="AC18" s="104">
        <f t="shared" si="0"/>
        <v>0</v>
      </c>
      <c r="AD18" s="104">
        <f t="shared" si="0"/>
        <v>0</v>
      </c>
      <c r="AE18" s="104">
        <f t="shared" si="0"/>
        <v>0</v>
      </c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</row>
    <row r="19" spans="1:51" ht="16.5" customHeight="1">
      <c r="A19" s="94"/>
      <c r="B19" s="94"/>
      <c r="C19" s="94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94"/>
      <c r="AE19" s="9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</row>
    <row r="20" spans="1:51" ht="16.5" customHeight="1">
      <c r="A20" s="94"/>
      <c r="B20" s="94"/>
      <c r="C20" s="94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94"/>
      <c r="AE20" s="9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</row>
    <row r="21" spans="1:51" ht="16.5" customHeight="1">
      <c r="A21" s="94"/>
      <c r="B21" s="94"/>
      <c r="C21" s="94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94"/>
      <c r="AE21" s="9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</row>
    <row r="22" spans="1:51" ht="16.5" customHeight="1">
      <c r="A22" s="94"/>
      <c r="B22" s="94"/>
      <c r="C22" s="94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94"/>
      <c r="AE22" s="9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</row>
    <row r="23" spans="1:51" ht="16.5" customHeight="1">
      <c r="A23" s="94"/>
      <c r="B23" s="94"/>
      <c r="C23" s="94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94"/>
      <c r="AE23" s="9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</row>
    <row r="24" spans="1:51" ht="16.5" customHeight="1">
      <c r="A24" s="94"/>
      <c r="B24" s="94"/>
      <c r="C24" s="94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94"/>
      <c r="AE24" s="9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</row>
    <row r="25" spans="1:51" ht="16.5" customHeight="1">
      <c r="A25" s="74"/>
      <c r="B25" s="74"/>
      <c r="C25" s="74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</row>
    <row r="26" spans="1:51" ht="16.5" customHeight="1">
      <c r="A26" s="74"/>
      <c r="B26" s="74"/>
      <c r="C26" s="74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</row>
    <row r="27" spans="1:51" ht="16.5" customHeight="1">
      <c r="A27" s="74"/>
      <c r="B27" s="74"/>
      <c r="C27" s="74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</row>
    <row r="28" spans="1:51" ht="16.5" customHeight="1">
      <c r="A28" s="74"/>
      <c r="B28" s="74"/>
      <c r="C28" s="74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</row>
    <row r="29" spans="1:51" ht="16.5" customHeight="1">
      <c r="A29" s="74"/>
      <c r="B29" s="74"/>
      <c r="C29" s="74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</row>
    <row r="30" spans="1:51" ht="16.5" customHeight="1">
      <c r="A30" s="74"/>
      <c r="B30" s="74"/>
      <c r="C30" s="74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</row>
    <row r="31" spans="1:51" ht="16.5" customHeight="1">
      <c r="A31" s="74"/>
      <c r="B31" s="74"/>
      <c r="C31" s="74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</row>
    <row r="32" spans="1:51" ht="16.5" customHeight="1">
      <c r="A32" s="74"/>
      <c r="B32" s="74"/>
      <c r="C32" s="74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</row>
    <row r="33" spans="1:51" ht="16.5" customHeight="1">
      <c r="A33" s="74"/>
      <c r="B33" s="74"/>
      <c r="C33" s="74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</row>
    <row r="34" spans="1:51" ht="16.5" customHeight="1">
      <c r="A34" s="74"/>
      <c r="B34" s="74"/>
      <c r="C34" s="74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</row>
    <row r="35" spans="1:51" ht="16.5" customHeight="1">
      <c r="A35" s="74"/>
      <c r="B35" s="74"/>
      <c r="C35" s="74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</row>
    <row r="36" spans="1:51" ht="16.5" customHeight="1">
      <c r="A36" s="74"/>
      <c r="B36" s="74"/>
      <c r="C36" s="74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</row>
    <row r="37" spans="1:51" ht="16.5" customHeight="1">
      <c r="A37" s="74"/>
      <c r="B37" s="74"/>
      <c r="C37" s="74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</row>
    <row r="38" spans="1:51" ht="16.5" customHeight="1">
      <c r="A38" s="74"/>
      <c r="B38" s="74"/>
      <c r="C38" s="74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</row>
    <row r="39" spans="1:51" ht="16.5" customHeight="1">
      <c r="A39" s="74"/>
      <c r="B39" s="74"/>
      <c r="C39" s="74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</row>
    <row r="40" spans="1:51" ht="16.5" customHeight="1">
      <c r="A40" s="74"/>
      <c r="B40" s="74"/>
      <c r="C40" s="74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</row>
    <row r="41" spans="1:51" ht="16.5" customHeight="1">
      <c r="A41" s="74"/>
      <c r="B41" s="74"/>
      <c r="C41" s="74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</row>
    <row r="42" spans="1:51" ht="16.5" customHeight="1">
      <c r="A42" s="74"/>
      <c r="B42" s="74"/>
      <c r="C42" s="74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</row>
    <row r="43" spans="1:51" ht="16.5" customHeight="1">
      <c r="A43" s="74"/>
      <c r="B43" s="74"/>
      <c r="C43" s="74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</row>
    <row r="44" spans="1:51" ht="16.5" customHeight="1">
      <c r="A44" s="74"/>
      <c r="B44" s="74"/>
      <c r="C44" s="74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</row>
    <row r="45" spans="1:51" ht="16.5" customHeight="1">
      <c r="A45" s="74"/>
      <c r="B45" s="74"/>
      <c r="C45" s="74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</row>
    <row r="46" spans="1:51" ht="16.5" customHeight="1">
      <c r="A46" s="74"/>
      <c r="B46" s="74"/>
      <c r="C46" s="74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</row>
    <row r="47" spans="1:51" ht="16.5" customHeight="1">
      <c r="A47" s="74"/>
      <c r="B47" s="74"/>
      <c r="C47" s="74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</row>
    <row r="48" spans="1:51" ht="16.5" customHeight="1">
      <c r="A48" s="74"/>
      <c r="B48" s="74"/>
      <c r="C48" s="74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</row>
    <row r="49" spans="1:51" ht="16.5" customHeight="1">
      <c r="A49" s="74"/>
      <c r="B49" s="74"/>
      <c r="C49" s="74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</row>
    <row r="50" spans="1:51" ht="16.5" customHeight="1">
      <c r="A50" s="74"/>
      <c r="B50" s="74"/>
      <c r="C50" s="74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</row>
    <row r="51" spans="1:51" ht="16.5" customHeight="1">
      <c r="A51" s="74"/>
      <c r="B51" s="74"/>
      <c r="C51" s="74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</row>
    <row r="52" spans="1:51" ht="16.5" customHeight="1">
      <c r="A52" s="74"/>
      <c r="B52" s="74"/>
      <c r="C52" s="74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</row>
    <row r="53" spans="1:51" ht="16.5" customHeight="1">
      <c r="A53" s="74"/>
      <c r="B53" s="74"/>
      <c r="C53" s="74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</row>
    <row r="54" spans="1:51" ht="16.5" customHeight="1">
      <c r="A54" s="74"/>
      <c r="B54" s="74"/>
      <c r="C54" s="74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</row>
    <row r="55" spans="1:51" ht="16.5" customHeight="1">
      <c r="A55" s="74"/>
      <c r="B55" s="74"/>
      <c r="C55" s="74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</row>
    <row r="56" spans="1:51" ht="16.5" customHeight="1">
      <c r="A56" s="74"/>
      <c r="B56" s="74"/>
      <c r="C56" s="74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</row>
    <row r="57" spans="1:51" ht="16.5" customHeight="1">
      <c r="A57" s="74"/>
      <c r="B57" s="74"/>
      <c r="C57" s="74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</row>
    <row r="58" spans="1:51" ht="16.5" customHeight="1">
      <c r="A58" s="74"/>
      <c r="B58" s="74"/>
      <c r="C58" s="74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</row>
    <row r="59" spans="1:51" ht="16.5" customHeight="1">
      <c r="A59" s="74"/>
      <c r="B59" s="74"/>
      <c r="C59" s="74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</row>
    <row r="60" spans="1:51" ht="16.5" customHeight="1">
      <c r="A60" s="74"/>
      <c r="B60" s="74"/>
      <c r="C60" s="74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</row>
    <row r="61" spans="1:51" ht="16.5" customHeight="1">
      <c r="A61" s="74"/>
      <c r="B61" s="74"/>
      <c r="C61" s="74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</row>
    <row r="62" spans="1:51" ht="16.5" customHeight="1">
      <c r="A62" s="74"/>
      <c r="B62" s="74"/>
      <c r="C62" s="74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</row>
    <row r="63" spans="1:51" ht="16.5" customHeight="1">
      <c r="A63" s="74"/>
      <c r="B63" s="74"/>
      <c r="C63" s="74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</row>
    <row r="64" spans="1:51" ht="16.5" customHeight="1">
      <c r="A64" s="74"/>
      <c r="B64" s="74"/>
      <c r="C64" s="74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</row>
    <row r="65" spans="1:51" ht="16.5" customHeight="1">
      <c r="A65" s="74"/>
      <c r="B65" s="74"/>
      <c r="C65" s="74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</row>
    <row r="66" spans="1:51" ht="16.5" customHeight="1">
      <c r="A66" s="74"/>
      <c r="B66" s="74"/>
      <c r="C66" s="74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</row>
    <row r="67" spans="1:51" ht="16.5" customHeight="1">
      <c r="A67" s="74"/>
      <c r="B67" s="74"/>
      <c r="C67" s="74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</row>
    <row r="68" spans="1:51" ht="16.5" customHeight="1">
      <c r="A68" s="74"/>
      <c r="B68" s="74"/>
      <c r="C68" s="74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</row>
    <row r="69" spans="1:51" ht="16.5" customHeight="1">
      <c r="A69" s="74"/>
      <c r="B69" s="74"/>
      <c r="C69" s="74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</row>
    <row r="70" spans="1:51" ht="16.5" customHeight="1">
      <c r="A70" s="74"/>
      <c r="B70" s="74"/>
      <c r="C70" s="74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</row>
    <row r="71" spans="1:51" ht="16.5" customHeight="1">
      <c r="A71" s="74"/>
      <c r="B71" s="74"/>
      <c r="C71" s="74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</row>
    <row r="72" spans="1:51" ht="16.5" customHeight="1">
      <c r="A72" s="74"/>
      <c r="B72" s="74"/>
      <c r="C72" s="74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</row>
    <row r="73" spans="1:51" ht="16.5" customHeight="1">
      <c r="A73" s="74"/>
      <c r="B73" s="74"/>
      <c r="C73" s="74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</row>
    <row r="74" spans="1:51" ht="16.5" customHeight="1">
      <c r="A74" s="74"/>
      <c r="B74" s="74"/>
      <c r="C74" s="74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</row>
    <row r="75" spans="1:51" ht="16.5" customHeight="1">
      <c r="A75" s="74"/>
      <c r="B75" s="74"/>
      <c r="C75" s="74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</row>
    <row r="76" spans="1:51" ht="16.5" customHeight="1">
      <c r="A76" s="74"/>
      <c r="B76" s="74"/>
      <c r="C76" s="74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</row>
    <row r="77" spans="1:51" ht="16.5" customHeight="1">
      <c r="A77" s="74"/>
      <c r="B77" s="74"/>
      <c r="C77" s="74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</row>
    <row r="78" spans="1:51" ht="16.5" customHeight="1">
      <c r="A78" s="74"/>
      <c r="B78" s="74"/>
      <c r="C78" s="74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</row>
    <row r="79" spans="1:51" ht="16.5" customHeight="1">
      <c r="A79" s="74"/>
      <c r="B79" s="74"/>
      <c r="C79" s="74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</row>
    <row r="80" spans="1:51" ht="16.5" customHeight="1">
      <c r="A80" s="74"/>
      <c r="B80" s="74"/>
      <c r="C80" s="74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</row>
    <row r="81" spans="1:51" ht="16.5" customHeight="1">
      <c r="A81" s="74"/>
      <c r="B81" s="74"/>
      <c r="C81" s="74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</row>
    <row r="82" spans="1:51" ht="16.5" customHeight="1">
      <c r="A82" s="74"/>
      <c r="B82" s="74"/>
      <c r="C82" s="74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</row>
    <row r="83" spans="1:51" ht="16.5" customHeight="1">
      <c r="A83" s="74"/>
      <c r="B83" s="74"/>
      <c r="C83" s="74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</row>
    <row r="84" spans="1:51" ht="16.5" customHeight="1">
      <c r="A84" s="74"/>
      <c r="B84" s="74"/>
      <c r="C84" s="74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</row>
    <row r="85" spans="1:51" ht="16.5" customHeight="1">
      <c r="A85" s="74"/>
      <c r="B85" s="74"/>
      <c r="C85" s="74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</row>
    <row r="86" spans="1:51" ht="16.5" customHeight="1">
      <c r="A86" s="74"/>
      <c r="B86" s="74"/>
      <c r="C86" s="74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</row>
    <row r="87" spans="1:51" ht="16.5" customHeight="1">
      <c r="A87" s="74"/>
      <c r="B87" s="74"/>
      <c r="C87" s="74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</row>
    <row r="88" spans="1:51" ht="16.5" customHeight="1">
      <c r="A88" s="74"/>
      <c r="B88" s="74"/>
      <c r="C88" s="74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</row>
    <row r="89" spans="1:51" ht="16.5" customHeight="1">
      <c r="A89" s="74"/>
      <c r="B89" s="74"/>
      <c r="C89" s="74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</row>
    <row r="90" spans="1:51" ht="16.5" customHeight="1">
      <c r="A90" s="74"/>
      <c r="B90" s="74"/>
      <c r="C90" s="74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</row>
    <row r="91" spans="1:51" ht="16.5" customHeight="1">
      <c r="A91" s="74"/>
      <c r="B91" s="74"/>
      <c r="C91" s="74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</row>
    <row r="92" spans="1:51" ht="16.5" customHeight="1">
      <c r="A92" s="74"/>
      <c r="B92" s="74"/>
      <c r="C92" s="74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</row>
    <row r="93" spans="1:51" ht="16.5" customHeight="1">
      <c r="A93" s="74"/>
      <c r="B93" s="74"/>
      <c r="C93" s="74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</row>
    <row r="94" spans="1:51" ht="16.5" customHeight="1">
      <c r="A94" s="74"/>
      <c r="B94" s="74"/>
      <c r="C94" s="74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</row>
    <row r="95" spans="1:51" ht="16.5" customHeight="1">
      <c r="A95" s="74"/>
      <c r="B95" s="74"/>
      <c r="C95" s="74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</row>
    <row r="96" spans="1:51" ht="16.5" customHeight="1">
      <c r="A96" s="74"/>
      <c r="B96" s="74"/>
      <c r="C96" s="74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</row>
    <row r="97" spans="1:51" ht="16.5" customHeight="1">
      <c r="A97" s="74"/>
      <c r="B97" s="74"/>
      <c r="C97" s="74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</row>
    <row r="98" spans="1:51" ht="16.5" customHeight="1">
      <c r="A98" s="74"/>
      <c r="B98" s="74"/>
      <c r="C98" s="74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</row>
    <row r="99" spans="1:51" ht="16.5" customHeight="1">
      <c r="A99" s="74"/>
      <c r="B99" s="74"/>
      <c r="C99" s="74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</row>
    <row r="100" spans="1:51" ht="16.5" customHeight="1">
      <c r="A100" s="74"/>
      <c r="B100" s="74"/>
      <c r="C100" s="74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</row>
    <row r="101" spans="1:51" ht="16.5" customHeight="1">
      <c r="A101" s="74"/>
      <c r="B101" s="74"/>
      <c r="C101" s="74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</row>
    <row r="102" spans="1:51" ht="16.5" customHeight="1">
      <c r="A102" s="74"/>
      <c r="B102" s="74"/>
      <c r="C102" s="74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</row>
    <row r="103" spans="1:51" ht="16.5" customHeight="1">
      <c r="A103" s="74"/>
      <c r="B103" s="74"/>
      <c r="C103" s="74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</row>
    <row r="104" spans="1:51" ht="16.5" customHeight="1">
      <c r="A104" s="74"/>
      <c r="B104" s="74"/>
      <c r="C104" s="74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</row>
    <row r="105" spans="1:51" ht="16.5" customHeight="1">
      <c r="A105" s="74"/>
      <c r="B105" s="74"/>
      <c r="C105" s="74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</row>
    <row r="106" spans="1:51" ht="16.5" customHeight="1">
      <c r="A106" s="74"/>
      <c r="B106" s="74"/>
      <c r="C106" s="74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</row>
    <row r="107" spans="1:51" ht="16.5" customHeight="1">
      <c r="A107" s="74"/>
      <c r="B107" s="74"/>
      <c r="C107" s="74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</row>
    <row r="108" spans="1:51" ht="16.5" customHeight="1">
      <c r="A108" s="74"/>
      <c r="B108" s="74"/>
      <c r="C108" s="74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</row>
    <row r="109" spans="1:51" ht="16.5" customHeight="1">
      <c r="A109" s="74"/>
      <c r="B109" s="74"/>
      <c r="C109" s="74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</row>
    <row r="110" spans="1:51" ht="16.5" customHeight="1">
      <c r="A110" s="74"/>
      <c r="B110" s="74"/>
      <c r="C110" s="74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</row>
    <row r="111" spans="1:51" ht="16.5" customHeight="1">
      <c r="A111" s="74"/>
      <c r="B111" s="74"/>
      <c r="C111" s="74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</row>
    <row r="112" spans="1:51" ht="16.5" customHeight="1">
      <c r="A112" s="74"/>
      <c r="B112" s="74"/>
      <c r="C112" s="74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</row>
    <row r="113" spans="1:51" ht="16.5" customHeight="1">
      <c r="A113" s="74"/>
      <c r="B113" s="74"/>
      <c r="C113" s="74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</row>
    <row r="114" spans="1:51" ht="16.5" customHeight="1">
      <c r="A114" s="74"/>
      <c r="B114" s="74"/>
      <c r="C114" s="74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</row>
    <row r="115" spans="1:51" ht="16.5" customHeight="1">
      <c r="A115" s="74"/>
      <c r="B115" s="74"/>
      <c r="C115" s="74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</row>
    <row r="116" spans="1:51" ht="16.5" customHeight="1">
      <c r="A116" s="74"/>
      <c r="B116" s="74"/>
      <c r="C116" s="74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</row>
    <row r="117" spans="1:51" ht="16.5" customHeight="1">
      <c r="A117" s="74"/>
      <c r="B117" s="74"/>
      <c r="C117" s="74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</row>
    <row r="118" spans="1:51" ht="16.5" customHeight="1">
      <c r="A118" s="74"/>
      <c r="B118" s="74"/>
      <c r="C118" s="74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</row>
    <row r="119" spans="1:51" ht="16.5" customHeight="1">
      <c r="A119" s="74"/>
      <c r="B119" s="74"/>
      <c r="C119" s="74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</row>
    <row r="120" spans="1:51" ht="16.5" customHeight="1">
      <c r="A120" s="74"/>
      <c r="B120" s="74"/>
      <c r="C120" s="74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</row>
    <row r="121" spans="1:51" ht="16.5" customHeight="1">
      <c r="A121" s="74"/>
      <c r="B121" s="74"/>
      <c r="C121" s="74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</row>
    <row r="122" spans="1:51" ht="16.5" customHeight="1">
      <c r="A122" s="74"/>
      <c r="B122" s="74"/>
      <c r="C122" s="74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</row>
    <row r="123" spans="1:51" ht="16.5" customHeight="1">
      <c r="A123" s="74"/>
      <c r="B123" s="74"/>
      <c r="C123" s="74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</row>
    <row r="124" spans="1:51" ht="16.5" customHeight="1">
      <c r="A124" s="74"/>
      <c r="B124" s="74"/>
      <c r="C124" s="74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</row>
    <row r="125" spans="1:51" ht="16.5" customHeight="1">
      <c r="A125" s="74"/>
      <c r="B125" s="74"/>
      <c r="C125" s="74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</row>
    <row r="126" spans="1:51" ht="16.5" customHeight="1">
      <c r="A126" s="74"/>
      <c r="B126" s="74"/>
      <c r="C126" s="74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</row>
    <row r="127" spans="1:51" ht="16.5" customHeight="1">
      <c r="A127" s="74"/>
      <c r="B127" s="74"/>
      <c r="C127" s="74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</row>
    <row r="128" spans="1:51" ht="16.5" customHeight="1">
      <c r="A128" s="74"/>
      <c r="B128" s="74"/>
      <c r="C128" s="74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</row>
    <row r="129" spans="1:51" ht="16.5" customHeight="1">
      <c r="A129" s="74"/>
      <c r="B129" s="74"/>
      <c r="C129" s="74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</row>
    <row r="130" spans="1:51" ht="16.5" customHeight="1">
      <c r="A130" s="74"/>
      <c r="B130" s="74"/>
      <c r="C130" s="74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</row>
    <row r="131" spans="1:51" ht="16.5" customHeight="1">
      <c r="A131" s="74"/>
      <c r="B131" s="74"/>
      <c r="C131" s="74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</row>
    <row r="132" spans="1:51" ht="16.5" customHeight="1">
      <c r="A132" s="74"/>
      <c r="B132" s="74"/>
      <c r="C132" s="74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</row>
    <row r="133" spans="1:51" ht="16.5" customHeight="1">
      <c r="A133" s="74"/>
      <c r="B133" s="74"/>
      <c r="C133" s="74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</row>
    <row r="134" spans="1:51" ht="16.5" customHeight="1">
      <c r="A134" s="74"/>
      <c r="B134" s="74"/>
      <c r="C134" s="74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</row>
    <row r="135" spans="1:51" ht="16.5" customHeight="1">
      <c r="A135" s="74"/>
      <c r="B135" s="74"/>
      <c r="C135" s="74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</row>
    <row r="136" spans="1:51" ht="16.5" customHeight="1">
      <c r="A136" s="74"/>
      <c r="B136" s="74"/>
      <c r="C136" s="74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</row>
    <row r="137" spans="1:51" ht="16.5" customHeight="1">
      <c r="A137" s="74"/>
      <c r="B137" s="74"/>
      <c r="C137" s="74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</row>
    <row r="138" spans="1:51" ht="16.5" customHeight="1">
      <c r="A138" s="74"/>
      <c r="B138" s="74"/>
      <c r="C138" s="74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</row>
    <row r="139" spans="1:51" ht="16.5" customHeight="1">
      <c r="A139" s="74"/>
      <c r="B139" s="74"/>
      <c r="C139" s="74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</row>
    <row r="140" spans="1:51" ht="16.5" customHeight="1">
      <c r="A140" s="74"/>
      <c r="B140" s="74"/>
      <c r="C140" s="74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</row>
    <row r="141" spans="1:51" ht="16.5" customHeight="1">
      <c r="A141" s="74"/>
      <c r="B141" s="74"/>
      <c r="C141" s="74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</row>
    <row r="142" spans="1:51" ht="16.5" customHeight="1">
      <c r="A142" s="74"/>
      <c r="B142" s="74"/>
      <c r="C142" s="74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</row>
    <row r="143" spans="1:51" ht="16.5" customHeight="1">
      <c r="A143" s="74"/>
      <c r="B143" s="74"/>
      <c r="C143" s="74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</row>
    <row r="144" spans="1:51" ht="16.5" customHeight="1">
      <c r="A144" s="74"/>
      <c r="B144" s="74"/>
      <c r="C144" s="74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</row>
    <row r="145" spans="1:51" ht="16.5" customHeight="1">
      <c r="A145" s="74"/>
      <c r="B145" s="74"/>
      <c r="C145" s="74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</row>
    <row r="146" spans="1:51" ht="16.5" customHeight="1">
      <c r="A146" s="74"/>
      <c r="B146" s="74"/>
      <c r="C146" s="74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</row>
    <row r="147" spans="1:51" ht="16.5" customHeight="1">
      <c r="A147" s="74"/>
      <c r="B147" s="74"/>
      <c r="C147" s="74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</row>
    <row r="148" spans="1:51" ht="16.5" customHeight="1">
      <c r="A148" s="74"/>
      <c r="B148" s="74"/>
      <c r="C148" s="74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</row>
    <row r="149" spans="1:51" ht="16.5" customHeight="1">
      <c r="A149" s="74"/>
      <c r="B149" s="74"/>
      <c r="C149" s="74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</row>
    <row r="150" spans="1:51" ht="16.5" customHeight="1">
      <c r="A150" s="74"/>
      <c r="B150" s="74"/>
      <c r="C150" s="74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</row>
    <row r="151" spans="1:51" ht="16.5" customHeight="1">
      <c r="A151" s="74"/>
      <c r="B151" s="74"/>
      <c r="C151" s="74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</row>
    <row r="152" spans="1:51" ht="16.5" customHeight="1">
      <c r="A152" s="74"/>
      <c r="B152" s="74"/>
      <c r="C152" s="74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</row>
    <row r="153" spans="1:51" ht="16.5" customHeight="1">
      <c r="A153" s="74"/>
      <c r="B153" s="74"/>
      <c r="C153" s="74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</row>
    <row r="154" spans="1:51" ht="16.5" customHeight="1">
      <c r="A154" s="74"/>
      <c r="B154" s="74"/>
      <c r="C154" s="74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</row>
    <row r="155" spans="1:51" ht="16.5" customHeight="1">
      <c r="A155" s="74"/>
      <c r="B155" s="74"/>
      <c r="C155" s="74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</row>
    <row r="156" spans="1:51" ht="16.5" customHeight="1">
      <c r="A156" s="74"/>
      <c r="B156" s="74"/>
      <c r="C156" s="74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</row>
    <row r="157" spans="1:51" ht="16.5" customHeight="1">
      <c r="A157" s="74"/>
      <c r="B157" s="74"/>
      <c r="C157" s="74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</row>
    <row r="158" spans="1:51" ht="16.5" customHeight="1">
      <c r="A158" s="74"/>
      <c r="B158" s="74"/>
      <c r="C158" s="74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</row>
    <row r="159" spans="1:51" ht="16.5" customHeight="1">
      <c r="A159" s="74"/>
      <c r="B159" s="74"/>
      <c r="C159" s="74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</row>
    <row r="160" spans="1:51" ht="16.5" customHeight="1">
      <c r="A160" s="74"/>
      <c r="B160" s="74"/>
      <c r="C160" s="74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</row>
    <row r="161" spans="1:51" ht="16.5" customHeight="1">
      <c r="A161" s="74"/>
      <c r="B161" s="74"/>
      <c r="C161" s="74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</row>
    <row r="162" spans="1:51" ht="16.5" customHeight="1">
      <c r="A162" s="74"/>
      <c r="B162" s="74"/>
      <c r="C162" s="74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</row>
    <row r="163" spans="1:51" ht="16.5" customHeight="1">
      <c r="A163" s="74"/>
      <c r="B163" s="74"/>
      <c r="C163" s="74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</row>
    <row r="164" spans="1:51" ht="16.5" customHeight="1">
      <c r="A164" s="74"/>
      <c r="B164" s="74"/>
      <c r="C164" s="74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</row>
    <row r="165" spans="1:51" ht="16.5" customHeight="1">
      <c r="A165" s="74"/>
      <c r="B165" s="74"/>
      <c r="C165" s="74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</row>
    <row r="166" spans="1:51" ht="16.5" customHeight="1">
      <c r="A166" s="74"/>
      <c r="B166" s="74"/>
      <c r="C166" s="74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</row>
    <row r="167" spans="1:51" ht="16.5" customHeight="1">
      <c r="A167" s="74"/>
      <c r="B167" s="74"/>
      <c r="C167" s="74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</row>
    <row r="168" spans="1:51" ht="16.5" customHeight="1">
      <c r="A168" s="74"/>
      <c r="B168" s="74"/>
      <c r="C168" s="74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</row>
    <row r="169" spans="1:51" ht="16.5" customHeight="1">
      <c r="A169" s="74"/>
      <c r="B169" s="74"/>
      <c r="C169" s="74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</row>
    <row r="170" spans="1:51" ht="16.5" customHeight="1">
      <c r="A170" s="74"/>
      <c r="B170" s="74"/>
      <c r="C170" s="74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</row>
    <row r="171" spans="1:51" ht="16.5" customHeight="1">
      <c r="A171" s="74"/>
      <c r="B171" s="74"/>
      <c r="C171" s="74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</row>
    <row r="172" spans="1:51" ht="16.5" customHeight="1">
      <c r="A172" s="74"/>
      <c r="B172" s="74"/>
      <c r="C172" s="74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</row>
    <row r="173" spans="1:51" ht="16.5" customHeight="1">
      <c r="A173" s="74"/>
      <c r="B173" s="74"/>
      <c r="C173" s="74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</row>
    <row r="174" spans="1:51" ht="16.5" customHeight="1">
      <c r="A174" s="74"/>
      <c r="B174" s="74"/>
      <c r="C174" s="74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</row>
    <row r="175" spans="1:51" ht="16.5" customHeight="1">
      <c r="A175" s="74"/>
      <c r="B175" s="74"/>
      <c r="C175" s="74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</row>
    <row r="176" spans="1:51" ht="16.5" customHeight="1">
      <c r="A176" s="74"/>
      <c r="B176" s="74"/>
      <c r="C176" s="74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</row>
    <row r="177" spans="1:51" ht="16.5" customHeight="1">
      <c r="A177" s="74"/>
      <c r="B177" s="74"/>
      <c r="C177" s="74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</row>
    <row r="178" spans="1:51" ht="16.5" customHeight="1">
      <c r="A178" s="74"/>
      <c r="B178" s="74"/>
      <c r="C178" s="74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</row>
    <row r="179" spans="1:51" ht="16.5" customHeight="1">
      <c r="A179" s="74"/>
      <c r="B179" s="74"/>
      <c r="C179" s="74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</row>
    <row r="180" spans="1:51" ht="16.5" customHeight="1">
      <c r="A180" s="74"/>
      <c r="B180" s="74"/>
      <c r="C180" s="74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</row>
    <row r="181" spans="1:51" ht="16.5" customHeight="1">
      <c r="A181" s="74"/>
      <c r="B181" s="74"/>
      <c r="C181" s="74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</row>
    <row r="182" spans="1:51" ht="16.5" customHeight="1">
      <c r="A182" s="74"/>
      <c r="B182" s="74"/>
      <c r="C182" s="74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</row>
    <row r="183" spans="1:51" ht="16.5" customHeight="1">
      <c r="A183" s="74"/>
      <c r="B183" s="74"/>
      <c r="C183" s="74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</row>
    <row r="184" spans="1:51" ht="16.5" customHeight="1">
      <c r="A184" s="74"/>
      <c r="B184" s="74"/>
      <c r="C184" s="74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</row>
    <row r="185" spans="1:51" ht="16.5" customHeight="1">
      <c r="A185" s="74"/>
      <c r="B185" s="74"/>
      <c r="C185" s="74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</row>
    <row r="186" spans="1:51" ht="16.5" customHeight="1">
      <c r="A186" s="74"/>
      <c r="B186" s="74"/>
      <c r="C186" s="74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</row>
    <row r="187" spans="1:51" ht="16.5" customHeight="1">
      <c r="A187" s="74"/>
      <c r="B187" s="74"/>
      <c r="C187" s="74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</row>
    <row r="188" spans="1:51" ht="16.5" customHeight="1">
      <c r="A188" s="74"/>
      <c r="B188" s="74"/>
      <c r="C188" s="74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</row>
    <row r="189" spans="1:51" ht="16.5" customHeight="1">
      <c r="A189" s="74"/>
      <c r="B189" s="74"/>
      <c r="C189" s="74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</row>
    <row r="190" spans="1:51" ht="16.5" customHeight="1">
      <c r="A190" s="74"/>
      <c r="B190" s="74"/>
      <c r="C190" s="74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</row>
    <row r="191" spans="1:51" ht="16.5" customHeight="1">
      <c r="A191" s="74"/>
      <c r="B191" s="74"/>
      <c r="C191" s="74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</row>
    <row r="192" spans="1:51" ht="16.5" customHeight="1">
      <c r="A192" s="74"/>
      <c r="B192" s="74"/>
      <c r="C192" s="74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</row>
    <row r="193" spans="1:51" ht="16.5" customHeight="1">
      <c r="A193" s="74"/>
      <c r="B193" s="74"/>
      <c r="C193" s="74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</row>
    <row r="194" spans="1:51" ht="16.5" customHeight="1">
      <c r="A194" s="74"/>
      <c r="B194" s="74"/>
      <c r="C194" s="74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</row>
    <row r="195" spans="1:51" ht="16.5" customHeight="1">
      <c r="A195" s="74"/>
      <c r="B195" s="74"/>
      <c r="C195" s="74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</row>
    <row r="196" spans="1:51" ht="16.5" customHeight="1">
      <c r="A196" s="74"/>
      <c r="B196" s="74"/>
      <c r="C196" s="74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</row>
    <row r="197" spans="1:51" ht="16.5" customHeight="1">
      <c r="A197" s="74"/>
      <c r="B197" s="74"/>
      <c r="C197" s="74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</row>
    <row r="198" spans="1:51" ht="16.5" customHeight="1">
      <c r="A198" s="74"/>
      <c r="B198" s="74"/>
      <c r="C198" s="74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</row>
    <row r="199" spans="1:51" ht="16.5" customHeight="1">
      <c r="A199" s="74"/>
      <c r="B199" s="74"/>
      <c r="C199" s="74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</row>
    <row r="200" spans="1:51" ht="16.5" customHeight="1">
      <c r="A200" s="74"/>
      <c r="B200" s="74"/>
      <c r="C200" s="74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</row>
    <row r="201" spans="1:51" ht="16.5" customHeight="1">
      <c r="A201" s="74"/>
      <c r="B201" s="74"/>
      <c r="C201" s="74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</row>
    <row r="202" spans="1:51" ht="16.5" customHeight="1">
      <c r="A202" s="74"/>
      <c r="B202" s="74"/>
      <c r="C202" s="74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</row>
    <row r="203" spans="1:51" ht="16.5" customHeight="1">
      <c r="A203" s="74"/>
      <c r="B203" s="74"/>
      <c r="C203" s="74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</row>
    <row r="204" spans="1:51" ht="16.5" customHeight="1">
      <c r="A204" s="74"/>
      <c r="B204" s="74"/>
      <c r="C204" s="74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</row>
    <row r="205" spans="1:51" ht="16.5" customHeight="1">
      <c r="A205" s="74"/>
      <c r="B205" s="74"/>
      <c r="C205" s="74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</row>
    <row r="206" spans="1:51" ht="16.5" customHeight="1">
      <c r="A206" s="74"/>
      <c r="B206" s="74"/>
      <c r="C206" s="74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</row>
    <row r="207" spans="1:51" ht="16.5" customHeight="1">
      <c r="A207" s="74"/>
      <c r="B207" s="74"/>
      <c r="C207" s="74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</row>
    <row r="208" spans="1:51" ht="16.5" customHeight="1">
      <c r="A208" s="74"/>
      <c r="B208" s="74"/>
      <c r="C208" s="74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</row>
    <row r="209" spans="1:51" ht="16.5" customHeight="1">
      <c r="A209" s="74"/>
      <c r="B209" s="74"/>
      <c r="C209" s="74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</row>
    <row r="210" spans="1:51" ht="16.5" customHeight="1">
      <c r="A210" s="74"/>
      <c r="B210" s="74"/>
      <c r="C210" s="74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</row>
    <row r="211" spans="1:51" ht="16.5" customHeight="1">
      <c r="A211" s="74"/>
      <c r="B211" s="74"/>
      <c r="C211" s="74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</row>
    <row r="212" spans="1:51" ht="16.5" customHeight="1">
      <c r="A212" s="74"/>
      <c r="B212" s="74"/>
      <c r="C212" s="74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</row>
    <row r="213" spans="1:51" ht="16.5" customHeight="1">
      <c r="A213" s="74"/>
      <c r="B213" s="74"/>
      <c r="C213" s="74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</row>
    <row r="214" spans="1:51" ht="16.5" customHeight="1">
      <c r="A214" s="74"/>
      <c r="B214" s="74"/>
      <c r="C214" s="74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</row>
    <row r="215" spans="1:51" ht="16.5" customHeight="1">
      <c r="A215" s="74"/>
      <c r="B215" s="74"/>
      <c r="C215" s="74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</row>
    <row r="216" spans="1:51" ht="16.5" customHeight="1">
      <c r="A216" s="74"/>
      <c r="B216" s="74"/>
      <c r="C216" s="74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</row>
    <row r="217" spans="1:51" ht="16.5" customHeight="1">
      <c r="A217" s="74"/>
      <c r="B217" s="74"/>
      <c r="C217" s="74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</row>
    <row r="218" spans="1:51" ht="16.5" customHeight="1">
      <c r="A218" s="74"/>
      <c r="B218" s="74"/>
      <c r="C218" s="74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</row>
    <row r="219" spans="1:51" ht="15.75" customHeight="1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</row>
    <row r="220" spans="1:51" ht="15.75" customHeight="1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</row>
    <row r="221" spans="1:51" ht="15.75" customHeight="1"/>
    <row r="222" spans="1:51" ht="15.75" customHeight="1"/>
    <row r="223" spans="1:51" ht="15.75" customHeight="1"/>
    <row r="224" spans="1:5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V3:W3"/>
    <mergeCell ref="X3:Y3"/>
    <mergeCell ref="H3:I3"/>
    <mergeCell ref="J3:K3"/>
    <mergeCell ref="L3:M3"/>
    <mergeCell ref="N3:O3"/>
    <mergeCell ref="P3:Q3"/>
    <mergeCell ref="R3:S3"/>
    <mergeCell ref="T3:U3"/>
    <mergeCell ref="T2:U2"/>
    <mergeCell ref="Z1:AA1"/>
    <mergeCell ref="AB1:AC1"/>
    <mergeCell ref="AD1:AE1"/>
    <mergeCell ref="L1:M1"/>
    <mergeCell ref="N1:O1"/>
    <mergeCell ref="P1:Q1"/>
    <mergeCell ref="R1:S1"/>
    <mergeCell ref="T1:U1"/>
    <mergeCell ref="V1:W1"/>
    <mergeCell ref="X1:Y1"/>
    <mergeCell ref="H1:I1"/>
    <mergeCell ref="J1:K1"/>
    <mergeCell ref="AB2:AC2"/>
    <mergeCell ref="AD2:AE2"/>
    <mergeCell ref="Z3:AA3"/>
    <mergeCell ref="AB3:AC3"/>
    <mergeCell ref="AD3:AE3"/>
    <mergeCell ref="V2:W2"/>
    <mergeCell ref="X2:Y2"/>
    <mergeCell ref="Z2:AA2"/>
    <mergeCell ref="H2:I2"/>
    <mergeCell ref="J2:K2"/>
    <mergeCell ref="L2:M2"/>
    <mergeCell ref="N2:O2"/>
    <mergeCell ref="P2:Q2"/>
    <mergeCell ref="R2:S2"/>
    <mergeCell ref="D3:E3"/>
    <mergeCell ref="F3:G3"/>
    <mergeCell ref="A1:A4"/>
    <mergeCell ref="B1:B4"/>
    <mergeCell ref="C1:C4"/>
    <mergeCell ref="D1:E1"/>
    <mergeCell ref="F1:G1"/>
    <mergeCell ref="D2:E2"/>
    <mergeCell ref="F2:G2"/>
  </mergeCells>
  <phoneticPr fontId="23" type="noConversion"/>
  <pageMargins left="0.70866141732283505" right="0.70866141732283505" top="0.74803149606299202" bottom="0.74803149606299202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G996"/>
  <sheetViews>
    <sheetView topLeftCell="T1" workbookViewId="0">
      <selection activeCell="AF3" sqref="AF3:AG3"/>
    </sheetView>
  </sheetViews>
  <sheetFormatPr baseColWidth="10" defaultColWidth="11.1640625" defaultRowHeight="15" customHeight="1"/>
  <cols>
    <col min="1" max="1" width="11.83203125" customWidth="1"/>
    <col min="2" max="2" width="49.6640625" customWidth="1"/>
    <col min="3" max="3" width="6.5" customWidth="1"/>
    <col min="4" max="4" width="7.5" customWidth="1"/>
    <col min="5" max="5" width="7.6640625" customWidth="1"/>
    <col min="6" max="7" width="7.1640625" customWidth="1"/>
    <col min="8" max="8" width="7.5" customWidth="1"/>
    <col min="9" max="11" width="7.83203125" customWidth="1"/>
    <col min="12" max="12" width="7" customWidth="1"/>
    <col min="13" max="13" width="8" bestFit="1" customWidth="1"/>
    <col min="14" max="14" width="8.33203125" customWidth="1"/>
    <col min="15" max="15" width="8.1640625" customWidth="1"/>
    <col min="16" max="16" width="8" customWidth="1"/>
    <col min="17" max="17" width="7.6640625" customWidth="1"/>
    <col min="18" max="18" width="8.33203125" customWidth="1"/>
    <col min="19" max="19" width="8.6640625" customWidth="1"/>
    <col min="20" max="21" width="7.1640625" customWidth="1"/>
    <col min="22" max="22" width="7.33203125" customWidth="1"/>
    <col min="23" max="23" width="8" customWidth="1"/>
    <col min="24" max="24" width="7.6640625" customWidth="1"/>
    <col min="25" max="27" width="7.5" customWidth="1"/>
    <col min="28" max="28" width="7.83203125" customWidth="1"/>
    <col min="29" max="29" width="8" customWidth="1"/>
    <col min="30" max="30" width="7.83203125" customWidth="1"/>
    <col min="31" max="31" width="7.6640625" customWidth="1"/>
    <col min="32" max="32" width="6.83203125" customWidth="1"/>
    <col min="33" max="33" width="7.1640625" customWidth="1"/>
  </cols>
  <sheetData>
    <row r="1" spans="1:33" ht="15.75" customHeight="1">
      <c r="A1" s="131" t="s">
        <v>135</v>
      </c>
      <c r="B1" s="195" t="s">
        <v>136</v>
      </c>
      <c r="C1" s="167" t="s">
        <v>137</v>
      </c>
      <c r="D1" s="169" t="s">
        <v>138</v>
      </c>
      <c r="E1" s="129"/>
      <c r="F1" s="128" t="s">
        <v>138</v>
      </c>
      <c r="G1" s="129"/>
      <c r="H1" s="128" t="s">
        <v>138</v>
      </c>
      <c r="I1" s="129"/>
      <c r="J1" s="128" t="s">
        <v>138</v>
      </c>
      <c r="K1" s="129"/>
      <c r="L1" s="128" t="s">
        <v>138</v>
      </c>
      <c r="M1" s="129"/>
      <c r="N1" s="128" t="s">
        <v>138</v>
      </c>
      <c r="O1" s="129"/>
      <c r="P1" s="128" t="s">
        <v>138</v>
      </c>
      <c r="Q1" s="129"/>
      <c r="R1" s="128" t="s">
        <v>138</v>
      </c>
      <c r="S1" s="129"/>
      <c r="T1" s="128" t="s">
        <v>138</v>
      </c>
      <c r="U1" s="129"/>
      <c r="V1" s="128" t="s">
        <v>138</v>
      </c>
      <c r="W1" s="129"/>
      <c r="X1" s="128" t="s">
        <v>138</v>
      </c>
      <c r="Y1" s="129"/>
      <c r="Z1" s="128" t="s">
        <v>138</v>
      </c>
      <c r="AA1" s="129"/>
      <c r="AB1" s="128" t="s">
        <v>138</v>
      </c>
      <c r="AC1" s="129"/>
      <c r="AD1" s="128" t="s">
        <v>138</v>
      </c>
      <c r="AE1" s="129"/>
      <c r="AF1" s="128" t="s">
        <v>138</v>
      </c>
      <c r="AG1" s="129"/>
    </row>
    <row r="2" spans="1:33" ht="16.5" customHeight="1">
      <c r="A2" s="132"/>
      <c r="B2" s="132"/>
      <c r="C2" s="127"/>
      <c r="D2" s="192" t="s">
        <v>2</v>
      </c>
      <c r="E2" s="122"/>
      <c r="F2" s="130" t="s">
        <v>2</v>
      </c>
      <c r="G2" s="122"/>
      <c r="H2" s="130" t="s">
        <v>2</v>
      </c>
      <c r="I2" s="122"/>
      <c r="J2" s="130" t="s">
        <v>2</v>
      </c>
      <c r="K2" s="122"/>
      <c r="L2" s="130" t="s">
        <v>2</v>
      </c>
      <c r="M2" s="122"/>
      <c r="N2" s="130" t="s">
        <v>2</v>
      </c>
      <c r="O2" s="122"/>
      <c r="P2" s="130" t="s">
        <v>2</v>
      </c>
      <c r="Q2" s="122"/>
      <c r="R2" s="123" t="s">
        <v>3</v>
      </c>
      <c r="S2" s="122"/>
      <c r="T2" s="123" t="s">
        <v>3</v>
      </c>
      <c r="U2" s="122"/>
      <c r="V2" s="123" t="s">
        <v>3</v>
      </c>
      <c r="W2" s="122"/>
      <c r="X2" s="123" t="s">
        <v>3</v>
      </c>
      <c r="Y2" s="122"/>
      <c r="Z2" s="123" t="s">
        <v>3</v>
      </c>
      <c r="AA2" s="122"/>
      <c r="AB2" s="123" t="s">
        <v>3</v>
      </c>
      <c r="AC2" s="122"/>
      <c r="AD2" s="123" t="s">
        <v>3</v>
      </c>
      <c r="AE2" s="122"/>
      <c r="AF2" s="125" t="s">
        <v>4</v>
      </c>
      <c r="AG2" s="122"/>
    </row>
    <row r="3" spans="1:33" ht="15.75" customHeight="1">
      <c r="A3" s="132"/>
      <c r="B3" s="132"/>
      <c r="C3" s="127"/>
      <c r="D3" s="186" t="s">
        <v>74</v>
      </c>
      <c r="E3" s="127"/>
      <c r="F3" s="134" t="s">
        <v>75</v>
      </c>
      <c r="G3" s="135"/>
      <c r="H3" s="126" t="s">
        <v>76</v>
      </c>
      <c r="I3" s="127"/>
      <c r="J3" s="126" t="s">
        <v>77</v>
      </c>
      <c r="K3" s="127"/>
      <c r="L3" s="194" t="s">
        <v>78</v>
      </c>
      <c r="M3" s="127"/>
      <c r="N3" s="194" t="s">
        <v>79</v>
      </c>
      <c r="O3" s="127"/>
      <c r="P3" s="126" t="s">
        <v>80</v>
      </c>
      <c r="Q3" s="127"/>
      <c r="R3" s="126" t="s">
        <v>81</v>
      </c>
      <c r="S3" s="127"/>
      <c r="T3" s="126" t="s">
        <v>82</v>
      </c>
      <c r="U3" s="127"/>
      <c r="V3" s="126" t="s">
        <v>83</v>
      </c>
      <c r="W3" s="127"/>
      <c r="X3" s="126" t="s">
        <v>84</v>
      </c>
      <c r="Y3" s="127"/>
      <c r="Z3" s="126" t="s">
        <v>85</v>
      </c>
      <c r="AA3" s="127"/>
      <c r="AB3" s="126" t="s">
        <v>86</v>
      </c>
      <c r="AC3" s="127"/>
      <c r="AD3" s="126" t="s">
        <v>87</v>
      </c>
      <c r="AE3" s="127"/>
      <c r="AF3" s="134" t="s">
        <v>88</v>
      </c>
      <c r="AG3" s="135"/>
    </row>
    <row r="4" spans="1:33" ht="41.25" customHeight="1">
      <c r="A4" s="132"/>
      <c r="B4" s="132"/>
      <c r="C4" s="127"/>
      <c r="D4" s="82" t="s">
        <v>139</v>
      </c>
      <c r="E4" s="83" t="s">
        <v>140</v>
      </c>
      <c r="F4" s="86" t="s">
        <v>139</v>
      </c>
      <c r="G4" s="83" t="s">
        <v>140</v>
      </c>
      <c r="H4" s="86" t="s">
        <v>139</v>
      </c>
      <c r="I4" s="83" t="s">
        <v>140</v>
      </c>
      <c r="J4" s="86" t="s">
        <v>139</v>
      </c>
      <c r="K4" s="83" t="s">
        <v>140</v>
      </c>
      <c r="L4" s="86" t="s">
        <v>139</v>
      </c>
      <c r="M4" s="83" t="s">
        <v>140</v>
      </c>
      <c r="N4" s="86" t="s">
        <v>139</v>
      </c>
      <c r="O4" s="83" t="s">
        <v>140</v>
      </c>
      <c r="P4" s="86" t="s">
        <v>139</v>
      </c>
      <c r="Q4" s="83" t="s">
        <v>140</v>
      </c>
      <c r="R4" s="86" t="s">
        <v>139</v>
      </c>
      <c r="S4" s="83" t="s">
        <v>140</v>
      </c>
      <c r="T4" s="86" t="s">
        <v>139</v>
      </c>
      <c r="U4" s="83" t="s">
        <v>140</v>
      </c>
      <c r="V4" s="86" t="s">
        <v>139</v>
      </c>
      <c r="W4" s="83" t="s">
        <v>140</v>
      </c>
      <c r="X4" s="86" t="s">
        <v>139</v>
      </c>
      <c r="Y4" s="83" t="s">
        <v>140</v>
      </c>
      <c r="Z4" s="86" t="s">
        <v>139</v>
      </c>
      <c r="AA4" s="83" t="s">
        <v>140</v>
      </c>
      <c r="AB4" s="86" t="s">
        <v>139</v>
      </c>
      <c r="AC4" s="83" t="s">
        <v>140</v>
      </c>
      <c r="AD4" s="86" t="s">
        <v>139</v>
      </c>
      <c r="AE4" s="83" t="s">
        <v>140</v>
      </c>
      <c r="AF4" s="86" t="s">
        <v>139</v>
      </c>
      <c r="AG4" s="83" t="s">
        <v>140</v>
      </c>
    </row>
    <row r="5" spans="1:33" ht="16.5" customHeight="1">
      <c r="A5" s="96"/>
      <c r="B5" s="94"/>
      <c r="C5" s="112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</row>
    <row r="6" spans="1:33" ht="16.5" customHeight="1">
      <c r="A6" s="96"/>
      <c r="B6" s="94"/>
      <c r="C6" s="112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</row>
    <row r="7" spans="1:33" ht="16.5" customHeight="1">
      <c r="A7" s="96"/>
      <c r="B7" s="94"/>
      <c r="C7" s="112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</row>
    <row r="8" spans="1:33" ht="16.5" customHeight="1">
      <c r="A8" s="96"/>
      <c r="B8" s="94"/>
      <c r="C8" s="112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</row>
    <row r="9" spans="1:33" ht="16.5" customHeight="1">
      <c r="A9" s="96"/>
      <c r="B9" s="94"/>
      <c r="C9" s="112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</row>
    <row r="10" spans="1:33" ht="16.5" customHeight="1">
      <c r="A10" s="96"/>
      <c r="B10" s="94"/>
      <c r="C10" s="112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</row>
    <row r="11" spans="1:33" ht="16.5" customHeight="1">
      <c r="A11" s="96"/>
      <c r="B11" s="94"/>
      <c r="C11" s="112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</row>
    <row r="12" spans="1:33" ht="16.5" customHeight="1">
      <c r="A12" s="96"/>
      <c r="B12" s="94"/>
      <c r="C12" s="112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</row>
    <row r="13" spans="1:33" ht="16.5" customHeight="1">
      <c r="A13" s="96"/>
      <c r="B13" s="94"/>
      <c r="C13" s="112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</row>
    <row r="14" spans="1:33" ht="16.5" customHeight="1">
      <c r="A14" s="96"/>
      <c r="B14" s="94"/>
      <c r="C14" s="112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</row>
    <row r="15" spans="1:33" ht="16.5" customHeight="1">
      <c r="A15" s="96"/>
      <c r="B15" s="94"/>
      <c r="C15" s="112"/>
      <c r="D15" s="103">
        <f>SUM(D5:D14)</f>
        <v>0</v>
      </c>
      <c r="E15" s="103">
        <f t="shared" ref="E15:AG15" si="0">SUM(E5:E14)</f>
        <v>0</v>
      </c>
      <c r="F15" s="103">
        <f t="shared" si="0"/>
        <v>0</v>
      </c>
      <c r="G15" s="103">
        <f t="shared" si="0"/>
        <v>0</v>
      </c>
      <c r="H15" s="103">
        <f t="shared" si="0"/>
        <v>0</v>
      </c>
      <c r="I15" s="103">
        <f t="shared" si="0"/>
        <v>0</v>
      </c>
      <c r="J15" s="103">
        <f t="shared" si="0"/>
        <v>0</v>
      </c>
      <c r="K15" s="103">
        <f t="shared" si="0"/>
        <v>0</v>
      </c>
      <c r="L15" s="103">
        <f t="shared" si="0"/>
        <v>0</v>
      </c>
      <c r="M15" s="103">
        <f t="shared" si="0"/>
        <v>0</v>
      </c>
      <c r="N15" s="103">
        <f t="shared" si="0"/>
        <v>0</v>
      </c>
      <c r="O15" s="103">
        <f t="shared" si="0"/>
        <v>0</v>
      </c>
      <c r="P15" s="103">
        <f t="shared" si="0"/>
        <v>0</v>
      </c>
      <c r="Q15" s="103">
        <f t="shared" si="0"/>
        <v>0</v>
      </c>
      <c r="R15" s="103">
        <f t="shared" si="0"/>
        <v>0</v>
      </c>
      <c r="S15" s="103">
        <f t="shared" si="0"/>
        <v>0</v>
      </c>
      <c r="T15" s="103">
        <f t="shared" si="0"/>
        <v>0</v>
      </c>
      <c r="U15" s="103">
        <f t="shared" si="0"/>
        <v>0</v>
      </c>
      <c r="V15" s="103">
        <f t="shared" si="0"/>
        <v>0</v>
      </c>
      <c r="W15" s="103">
        <f t="shared" si="0"/>
        <v>0</v>
      </c>
      <c r="X15" s="103">
        <f t="shared" si="0"/>
        <v>0</v>
      </c>
      <c r="Y15" s="103">
        <f t="shared" si="0"/>
        <v>0</v>
      </c>
      <c r="Z15" s="103">
        <f t="shared" si="0"/>
        <v>0</v>
      </c>
      <c r="AA15" s="103">
        <f t="shared" si="0"/>
        <v>0</v>
      </c>
      <c r="AB15" s="103">
        <f t="shared" si="0"/>
        <v>0</v>
      </c>
      <c r="AC15" s="103">
        <f t="shared" si="0"/>
        <v>0</v>
      </c>
      <c r="AD15" s="103">
        <f t="shared" si="0"/>
        <v>0</v>
      </c>
      <c r="AE15" s="103">
        <f t="shared" si="0"/>
        <v>0</v>
      </c>
      <c r="AF15" s="103">
        <f t="shared" si="0"/>
        <v>0</v>
      </c>
      <c r="AG15" s="103">
        <f t="shared" si="0"/>
        <v>0</v>
      </c>
    </row>
    <row r="16" spans="1:33" ht="16.5" customHeight="1">
      <c r="A16" s="96"/>
      <c r="B16" s="94"/>
      <c r="C16" s="112"/>
      <c r="E16" s="74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</row>
    <row r="17" spans="1:29" ht="16.5" customHeight="1">
      <c r="A17" s="74"/>
      <c r="B17" s="74"/>
      <c r="C17" s="74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</row>
    <row r="18" spans="1:29" ht="16.5" customHeight="1">
      <c r="A18" s="74"/>
      <c r="B18" s="74"/>
      <c r="C18" s="74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</row>
    <row r="19" spans="1:29" ht="16.5" customHeight="1">
      <c r="A19" s="74"/>
      <c r="B19" s="74"/>
      <c r="C19" s="74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</row>
    <row r="20" spans="1:29" ht="16.5" customHeight="1">
      <c r="A20" s="74"/>
      <c r="B20" s="74"/>
      <c r="C20" s="74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</row>
    <row r="21" spans="1:29" ht="16.5" customHeight="1">
      <c r="A21" s="74"/>
      <c r="B21" s="74"/>
      <c r="C21" s="74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</row>
    <row r="22" spans="1:29" ht="16.5" customHeight="1">
      <c r="A22" s="74"/>
      <c r="B22" s="74"/>
      <c r="C22" s="74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</row>
    <row r="23" spans="1:29" ht="16.5" customHeight="1">
      <c r="A23" s="74"/>
      <c r="B23" s="74"/>
      <c r="C23" s="74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</row>
    <row r="24" spans="1:29" ht="16.5" customHeight="1">
      <c r="A24" s="74"/>
      <c r="B24" s="74"/>
      <c r="C24" s="74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</row>
    <row r="25" spans="1:29" ht="16.5" customHeight="1">
      <c r="A25" s="74"/>
      <c r="B25" s="74"/>
      <c r="C25" s="74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</row>
    <row r="26" spans="1:29" ht="16.5" customHeight="1">
      <c r="A26" s="74"/>
      <c r="B26" s="74"/>
      <c r="C26" s="74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</row>
    <row r="27" spans="1:29" ht="16.5" customHeight="1">
      <c r="A27" s="74"/>
      <c r="B27" s="74"/>
      <c r="C27" s="74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</row>
    <row r="28" spans="1:29" ht="16.5" customHeight="1">
      <c r="A28" s="74"/>
      <c r="B28" s="74"/>
      <c r="C28" s="74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</row>
    <row r="29" spans="1:29" ht="16.5" customHeight="1">
      <c r="A29" s="74"/>
      <c r="B29" s="74"/>
      <c r="C29" s="74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</row>
    <row r="30" spans="1:29" ht="16.5" customHeight="1">
      <c r="A30" s="74"/>
      <c r="B30" s="74"/>
      <c r="C30" s="74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</row>
    <row r="31" spans="1:29" ht="16.5" customHeight="1">
      <c r="A31" s="74"/>
      <c r="B31" s="74"/>
      <c r="C31" s="74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</row>
    <row r="32" spans="1:29" ht="16.5" customHeight="1">
      <c r="A32" s="74"/>
      <c r="B32" s="74"/>
      <c r="C32" s="74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</row>
    <row r="33" spans="1:29" ht="16.5" customHeight="1">
      <c r="A33" s="74"/>
      <c r="B33" s="74"/>
      <c r="C33" s="74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</row>
    <row r="34" spans="1:29" ht="16.5" customHeight="1">
      <c r="A34" s="74"/>
      <c r="B34" s="74"/>
      <c r="C34" s="74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</row>
    <row r="35" spans="1:29" ht="16.5" customHeight="1">
      <c r="A35" s="74"/>
      <c r="B35" s="74"/>
      <c r="C35" s="74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</row>
    <row r="36" spans="1:29" ht="16.5" customHeight="1">
      <c r="A36" s="74"/>
      <c r="B36" s="74"/>
      <c r="C36" s="74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</row>
    <row r="37" spans="1:29" ht="16.5" customHeight="1">
      <c r="A37" s="74"/>
      <c r="B37" s="74"/>
      <c r="C37" s="74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</row>
    <row r="38" spans="1:29" ht="16.5" customHeight="1">
      <c r="A38" s="74"/>
      <c r="B38" s="74"/>
      <c r="C38" s="74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</row>
    <row r="39" spans="1:29" ht="16.5" customHeight="1">
      <c r="A39" s="74"/>
      <c r="B39" s="74"/>
      <c r="C39" s="74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</row>
    <row r="40" spans="1:29" ht="16.5" customHeight="1">
      <c r="A40" s="74"/>
      <c r="B40" s="74"/>
      <c r="C40" s="74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</row>
    <row r="41" spans="1:29" ht="16.5" customHeight="1">
      <c r="A41" s="74"/>
      <c r="B41" s="74"/>
      <c r="C41" s="74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</row>
    <row r="42" spans="1:29" ht="16.5" customHeight="1">
      <c r="A42" s="74"/>
      <c r="B42" s="74"/>
      <c r="C42" s="74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</row>
    <row r="43" spans="1:29" ht="16.5" customHeight="1">
      <c r="A43" s="74"/>
      <c r="B43" s="74"/>
      <c r="C43" s="74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</row>
    <row r="44" spans="1:29" ht="16.5" customHeight="1">
      <c r="A44" s="74"/>
      <c r="B44" s="74"/>
      <c r="C44" s="74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</row>
    <row r="45" spans="1:29" ht="16.5" customHeight="1">
      <c r="A45" s="74"/>
      <c r="B45" s="74"/>
      <c r="C45" s="74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</row>
    <row r="46" spans="1:29" ht="16.5" customHeight="1">
      <c r="A46" s="74"/>
      <c r="B46" s="74"/>
      <c r="C46" s="74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</row>
    <row r="47" spans="1:29" ht="16.5" customHeight="1">
      <c r="A47" s="74"/>
      <c r="B47" s="74"/>
      <c r="C47" s="74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</row>
    <row r="48" spans="1:29" ht="16.5" customHeight="1">
      <c r="A48" s="74"/>
      <c r="B48" s="74"/>
      <c r="C48" s="74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</row>
    <row r="49" spans="1:29" ht="16.5" customHeight="1">
      <c r="A49" s="74"/>
      <c r="B49" s="74"/>
      <c r="C49" s="74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</row>
    <row r="50" spans="1:29" ht="16.5" customHeight="1">
      <c r="A50" s="74"/>
      <c r="B50" s="74"/>
      <c r="C50" s="74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</row>
    <row r="51" spans="1:29" ht="16.5" customHeight="1">
      <c r="A51" s="74"/>
      <c r="B51" s="74"/>
      <c r="C51" s="74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</row>
    <row r="52" spans="1:29" ht="16.5" customHeight="1">
      <c r="A52" s="74"/>
      <c r="B52" s="74"/>
      <c r="C52" s="74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</row>
    <row r="53" spans="1:29" ht="16.5" customHeight="1">
      <c r="A53" s="74"/>
      <c r="B53" s="74"/>
      <c r="C53" s="74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</row>
    <row r="54" spans="1:29" ht="16.5" customHeight="1">
      <c r="A54" s="74"/>
      <c r="B54" s="74"/>
      <c r="C54" s="74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</row>
    <row r="55" spans="1:29" ht="16.5" customHeight="1">
      <c r="A55" s="74"/>
      <c r="B55" s="74"/>
      <c r="C55" s="74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</row>
    <row r="56" spans="1:29" ht="16.5" customHeight="1">
      <c r="A56" s="74"/>
      <c r="B56" s="74"/>
      <c r="C56" s="74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</row>
    <row r="57" spans="1:29" ht="16.5" customHeight="1">
      <c r="A57" s="74"/>
      <c r="B57" s="74"/>
      <c r="C57" s="74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</row>
    <row r="58" spans="1:29" ht="16.5" customHeight="1">
      <c r="A58" s="74"/>
      <c r="B58" s="74"/>
      <c r="C58" s="74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</row>
    <row r="59" spans="1:29" ht="16.5" customHeight="1">
      <c r="A59" s="74"/>
      <c r="B59" s="74"/>
      <c r="C59" s="74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</row>
    <row r="60" spans="1:29" ht="16.5" customHeight="1">
      <c r="A60" s="74"/>
      <c r="B60" s="74"/>
      <c r="C60" s="74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</row>
    <row r="61" spans="1:29" ht="16.5" customHeight="1">
      <c r="A61" s="74"/>
      <c r="B61" s="74"/>
      <c r="C61" s="74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</row>
    <row r="62" spans="1:29" ht="16.5" customHeight="1">
      <c r="A62" s="74"/>
      <c r="B62" s="74"/>
      <c r="C62" s="74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</row>
    <row r="63" spans="1:29" ht="16.5" customHeight="1">
      <c r="A63" s="74"/>
      <c r="B63" s="74"/>
      <c r="C63" s="74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</row>
    <row r="64" spans="1:29" ht="16.5" customHeight="1">
      <c r="A64" s="74"/>
      <c r="B64" s="74"/>
      <c r="C64" s="74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</row>
    <row r="65" spans="1:29" ht="16.5" customHeight="1">
      <c r="A65" s="74"/>
      <c r="B65" s="74"/>
      <c r="C65" s="74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</row>
    <row r="66" spans="1:29" ht="16.5" customHeight="1">
      <c r="A66" s="74"/>
      <c r="B66" s="74"/>
      <c r="C66" s="74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</row>
    <row r="67" spans="1:29" ht="16.5" customHeight="1">
      <c r="A67" s="74"/>
      <c r="B67" s="74"/>
      <c r="C67" s="74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</row>
    <row r="68" spans="1:29" ht="16.5" customHeight="1">
      <c r="A68" s="74"/>
      <c r="B68" s="74"/>
      <c r="C68" s="74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</row>
    <row r="69" spans="1:29" ht="16.5" customHeight="1">
      <c r="A69" s="74"/>
      <c r="B69" s="74"/>
      <c r="C69" s="74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</row>
    <row r="70" spans="1:29" ht="16.5" customHeight="1">
      <c r="A70" s="74"/>
      <c r="B70" s="74"/>
      <c r="C70" s="74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</row>
    <row r="71" spans="1:29" ht="16.5" customHeight="1">
      <c r="A71" s="74"/>
      <c r="B71" s="74"/>
      <c r="C71" s="74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</row>
    <row r="72" spans="1:29" ht="16.5" customHeight="1">
      <c r="A72" s="74"/>
      <c r="B72" s="74"/>
      <c r="C72" s="74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</row>
    <row r="73" spans="1:29" ht="16.5" customHeight="1">
      <c r="A73" s="74"/>
      <c r="B73" s="74"/>
      <c r="C73" s="74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</row>
    <row r="74" spans="1:29" ht="16.5" customHeight="1">
      <c r="A74" s="74"/>
      <c r="B74" s="74"/>
      <c r="C74" s="74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</row>
    <row r="75" spans="1:29" ht="16.5" customHeight="1">
      <c r="A75" s="74"/>
      <c r="B75" s="74"/>
      <c r="C75" s="74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</row>
    <row r="76" spans="1:29" ht="16.5" customHeight="1">
      <c r="A76" s="74"/>
      <c r="B76" s="74"/>
      <c r="C76" s="74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</row>
    <row r="77" spans="1:29" ht="16.5" customHeight="1">
      <c r="A77" s="74"/>
      <c r="B77" s="74"/>
      <c r="C77" s="74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</row>
    <row r="78" spans="1:29" ht="16.5" customHeight="1">
      <c r="A78" s="74"/>
      <c r="B78" s="74"/>
      <c r="C78" s="74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</row>
    <row r="79" spans="1:29" ht="16.5" customHeight="1">
      <c r="A79" s="74"/>
      <c r="B79" s="74"/>
      <c r="C79" s="74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</row>
    <row r="80" spans="1:29" ht="16.5" customHeight="1">
      <c r="A80" s="74"/>
      <c r="B80" s="74"/>
      <c r="C80" s="74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</row>
    <row r="81" spans="1:29" ht="16.5" customHeight="1">
      <c r="A81" s="74"/>
      <c r="B81" s="74"/>
      <c r="C81" s="74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</row>
    <row r="82" spans="1:29" ht="16.5" customHeight="1">
      <c r="A82" s="74"/>
      <c r="B82" s="74"/>
      <c r="C82" s="74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</row>
    <row r="83" spans="1:29" ht="16.5" customHeight="1">
      <c r="A83" s="74"/>
      <c r="B83" s="74"/>
      <c r="C83" s="74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</row>
    <row r="84" spans="1:29" ht="16.5" customHeight="1">
      <c r="A84" s="74"/>
      <c r="B84" s="74"/>
      <c r="C84" s="74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</row>
    <row r="85" spans="1:29" ht="16.5" customHeight="1">
      <c r="A85" s="74"/>
      <c r="B85" s="74"/>
      <c r="C85" s="74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</row>
    <row r="86" spans="1:29" ht="16.5" customHeight="1">
      <c r="A86" s="74"/>
      <c r="B86" s="74"/>
      <c r="C86" s="74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</row>
    <row r="87" spans="1:29" ht="16.5" customHeight="1">
      <c r="A87" s="74"/>
      <c r="B87" s="74"/>
      <c r="C87" s="74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</row>
    <row r="88" spans="1:29" ht="16.5" customHeight="1">
      <c r="A88" s="74"/>
      <c r="B88" s="74"/>
      <c r="C88" s="74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</row>
    <row r="89" spans="1:29" ht="16.5" customHeight="1">
      <c r="A89" s="74"/>
      <c r="B89" s="74"/>
      <c r="C89" s="74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</row>
    <row r="90" spans="1:29" ht="16.5" customHeight="1">
      <c r="A90" s="74"/>
      <c r="B90" s="74"/>
      <c r="C90" s="74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</row>
    <row r="91" spans="1:29" ht="16.5" customHeight="1">
      <c r="A91" s="74"/>
      <c r="B91" s="74"/>
      <c r="C91" s="74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</row>
    <row r="92" spans="1:29" ht="16.5" customHeight="1">
      <c r="A92" s="74"/>
      <c r="B92" s="74"/>
      <c r="C92" s="74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</row>
    <row r="93" spans="1:29" ht="16.5" customHeight="1">
      <c r="A93" s="74"/>
      <c r="B93" s="74"/>
      <c r="C93" s="74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</row>
    <row r="94" spans="1:29" ht="16.5" customHeight="1">
      <c r="A94" s="74"/>
      <c r="B94" s="74"/>
      <c r="C94" s="74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</row>
    <row r="95" spans="1:29" ht="16.5" customHeight="1">
      <c r="A95" s="74"/>
      <c r="B95" s="74"/>
      <c r="C95" s="74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</row>
    <row r="96" spans="1:29" ht="16.5" customHeight="1">
      <c r="A96" s="74"/>
      <c r="B96" s="74"/>
      <c r="C96" s="74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</row>
    <row r="97" spans="1:29" ht="16.5" customHeight="1">
      <c r="A97" s="74"/>
      <c r="B97" s="74"/>
      <c r="C97" s="74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</row>
    <row r="98" spans="1:29" ht="16.5" customHeight="1">
      <c r="A98" s="74"/>
      <c r="B98" s="74"/>
      <c r="C98" s="74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</row>
    <row r="99" spans="1:29" ht="16.5" customHeight="1">
      <c r="A99" s="74"/>
      <c r="B99" s="74"/>
      <c r="C99" s="74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</row>
    <row r="100" spans="1:29" ht="16.5" customHeight="1">
      <c r="A100" s="74"/>
      <c r="B100" s="74"/>
      <c r="C100" s="74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</row>
    <row r="101" spans="1:29" ht="16.5" customHeight="1">
      <c r="A101" s="74"/>
      <c r="B101" s="74"/>
      <c r="C101" s="74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</row>
    <row r="102" spans="1:29" ht="16.5" customHeight="1">
      <c r="A102" s="74"/>
      <c r="B102" s="74"/>
      <c r="C102" s="74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</row>
    <row r="103" spans="1:29" ht="16.5" customHeight="1">
      <c r="A103" s="74"/>
      <c r="B103" s="74"/>
      <c r="C103" s="74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</row>
    <row r="104" spans="1:29" ht="16.5" customHeight="1">
      <c r="A104" s="74"/>
      <c r="B104" s="74"/>
      <c r="C104" s="74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</row>
    <row r="105" spans="1:29" ht="16.5" customHeight="1">
      <c r="A105" s="74"/>
      <c r="B105" s="74"/>
      <c r="C105" s="74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</row>
    <row r="106" spans="1:29" ht="16.5" customHeight="1">
      <c r="A106" s="74"/>
      <c r="B106" s="74"/>
      <c r="C106" s="74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</row>
    <row r="107" spans="1:29" ht="16.5" customHeight="1">
      <c r="A107" s="74"/>
      <c r="B107" s="74"/>
      <c r="C107" s="74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</row>
    <row r="108" spans="1:29" ht="16.5" customHeight="1">
      <c r="A108" s="74"/>
      <c r="B108" s="74"/>
      <c r="C108" s="74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</row>
    <row r="109" spans="1:29" ht="16.5" customHeight="1">
      <c r="A109" s="74"/>
      <c r="B109" s="74"/>
      <c r="C109" s="74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</row>
    <row r="110" spans="1:29" ht="16.5" customHeight="1">
      <c r="A110" s="74"/>
      <c r="B110" s="74"/>
      <c r="C110" s="74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</row>
    <row r="111" spans="1:29" ht="16.5" customHeight="1">
      <c r="A111" s="74"/>
      <c r="B111" s="74"/>
      <c r="C111" s="74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</row>
    <row r="112" spans="1:29" ht="16.5" customHeight="1">
      <c r="A112" s="74"/>
      <c r="B112" s="74"/>
      <c r="C112" s="74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</row>
    <row r="113" spans="1:29" ht="16.5" customHeight="1">
      <c r="A113" s="74"/>
      <c r="B113" s="74"/>
      <c r="C113" s="74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</row>
    <row r="114" spans="1:29" ht="16.5" customHeight="1">
      <c r="A114" s="74"/>
      <c r="B114" s="74"/>
      <c r="C114" s="74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</row>
    <row r="115" spans="1:29" ht="16.5" customHeight="1">
      <c r="A115" s="74"/>
      <c r="B115" s="74"/>
      <c r="C115" s="74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</row>
    <row r="116" spans="1:29" ht="16.5" customHeight="1">
      <c r="A116" s="74"/>
      <c r="B116" s="74"/>
      <c r="C116" s="74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</row>
    <row r="117" spans="1:29" ht="16.5" customHeight="1">
      <c r="A117" s="74"/>
      <c r="B117" s="74"/>
      <c r="C117" s="74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</row>
    <row r="118" spans="1:29" ht="16.5" customHeight="1">
      <c r="A118" s="74"/>
      <c r="B118" s="74"/>
      <c r="C118" s="74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</row>
    <row r="119" spans="1:29" ht="16.5" customHeight="1">
      <c r="A119" s="74"/>
      <c r="B119" s="74"/>
      <c r="C119" s="74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</row>
    <row r="120" spans="1:29" ht="16.5" customHeight="1">
      <c r="A120" s="74"/>
      <c r="B120" s="74"/>
      <c r="C120" s="74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</row>
    <row r="121" spans="1:29" ht="16.5" customHeight="1">
      <c r="A121" s="74"/>
      <c r="B121" s="74"/>
      <c r="C121" s="74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</row>
    <row r="122" spans="1:29" ht="16.5" customHeight="1">
      <c r="A122" s="74"/>
      <c r="B122" s="74"/>
      <c r="C122" s="74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</row>
    <row r="123" spans="1:29" ht="16.5" customHeight="1">
      <c r="A123" s="74"/>
      <c r="B123" s="74"/>
      <c r="C123" s="74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</row>
    <row r="124" spans="1:29" ht="16.5" customHeight="1">
      <c r="A124" s="74"/>
      <c r="B124" s="74"/>
      <c r="C124" s="74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</row>
    <row r="125" spans="1:29" ht="16.5" customHeight="1">
      <c r="A125" s="74"/>
      <c r="B125" s="74"/>
      <c r="C125" s="74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</row>
    <row r="126" spans="1:29" ht="16.5" customHeight="1">
      <c r="A126" s="74"/>
      <c r="B126" s="74"/>
      <c r="C126" s="74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</row>
    <row r="127" spans="1:29" ht="16.5" customHeight="1">
      <c r="A127" s="74"/>
      <c r="B127" s="74"/>
      <c r="C127" s="74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</row>
    <row r="128" spans="1:29" ht="16.5" customHeight="1">
      <c r="A128" s="74"/>
      <c r="B128" s="74"/>
      <c r="C128" s="74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</row>
    <row r="129" spans="1:29" ht="16.5" customHeight="1">
      <c r="A129" s="74"/>
      <c r="B129" s="74"/>
      <c r="C129" s="74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</row>
    <row r="130" spans="1:29" ht="16.5" customHeight="1">
      <c r="A130" s="74"/>
      <c r="B130" s="74"/>
      <c r="C130" s="74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</row>
    <row r="131" spans="1:29" ht="16.5" customHeight="1">
      <c r="A131" s="74"/>
      <c r="B131" s="74"/>
      <c r="C131" s="74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</row>
    <row r="132" spans="1:29" ht="16.5" customHeight="1">
      <c r="A132" s="74"/>
      <c r="B132" s="74"/>
      <c r="C132" s="74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</row>
    <row r="133" spans="1:29" ht="16.5" customHeight="1">
      <c r="A133" s="74"/>
      <c r="B133" s="74"/>
      <c r="C133" s="74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</row>
    <row r="134" spans="1:29" ht="16.5" customHeight="1">
      <c r="A134" s="74"/>
      <c r="B134" s="74"/>
      <c r="C134" s="74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</row>
    <row r="135" spans="1:29" ht="16.5" customHeight="1">
      <c r="A135" s="74"/>
      <c r="B135" s="74"/>
      <c r="C135" s="74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</row>
    <row r="136" spans="1:29" ht="16.5" customHeight="1">
      <c r="A136" s="74"/>
      <c r="B136" s="74"/>
      <c r="C136" s="74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</row>
    <row r="137" spans="1:29" ht="16.5" customHeight="1">
      <c r="A137" s="74"/>
      <c r="B137" s="74"/>
      <c r="C137" s="74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</row>
    <row r="138" spans="1:29" ht="16.5" customHeight="1">
      <c r="A138" s="74"/>
      <c r="B138" s="74"/>
      <c r="C138" s="74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</row>
    <row r="139" spans="1:29" ht="16.5" customHeight="1">
      <c r="A139" s="74"/>
      <c r="B139" s="74"/>
      <c r="C139" s="74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</row>
    <row r="140" spans="1:29" ht="16.5" customHeight="1">
      <c r="A140" s="74"/>
      <c r="B140" s="74"/>
      <c r="C140" s="74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</row>
    <row r="141" spans="1:29" ht="16.5" customHeight="1">
      <c r="A141" s="74"/>
      <c r="B141" s="74"/>
      <c r="C141" s="74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</row>
    <row r="142" spans="1:29" ht="16.5" customHeight="1">
      <c r="A142" s="74"/>
      <c r="B142" s="74"/>
      <c r="C142" s="74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</row>
    <row r="143" spans="1:29" ht="16.5" customHeight="1">
      <c r="A143" s="74"/>
      <c r="B143" s="74"/>
      <c r="C143" s="74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</row>
    <row r="144" spans="1:29" ht="16.5" customHeight="1">
      <c r="A144" s="74"/>
      <c r="B144" s="74"/>
      <c r="C144" s="74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</row>
    <row r="145" spans="1:29" ht="16.5" customHeight="1">
      <c r="A145" s="74"/>
      <c r="B145" s="74"/>
      <c r="C145" s="74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</row>
    <row r="146" spans="1:29" ht="16.5" customHeight="1">
      <c r="A146" s="74"/>
      <c r="B146" s="74"/>
      <c r="C146" s="74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</row>
    <row r="147" spans="1:29" ht="16.5" customHeight="1">
      <c r="A147" s="74"/>
      <c r="B147" s="74"/>
      <c r="C147" s="74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</row>
    <row r="148" spans="1:29" ht="16.5" customHeight="1">
      <c r="A148" s="74"/>
      <c r="B148" s="74"/>
      <c r="C148" s="74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</row>
    <row r="149" spans="1:29" ht="16.5" customHeight="1">
      <c r="A149" s="74"/>
      <c r="B149" s="74"/>
      <c r="C149" s="74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</row>
    <row r="150" spans="1:29" ht="16.5" customHeight="1">
      <c r="A150" s="74"/>
      <c r="B150" s="74"/>
      <c r="C150" s="74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</row>
    <row r="151" spans="1:29" ht="16.5" customHeight="1">
      <c r="A151" s="74"/>
      <c r="B151" s="74"/>
      <c r="C151" s="74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</row>
    <row r="152" spans="1:29" ht="16.5" customHeight="1">
      <c r="A152" s="74"/>
      <c r="B152" s="74"/>
      <c r="C152" s="74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</row>
    <row r="153" spans="1:29" ht="16.5" customHeight="1">
      <c r="A153" s="74"/>
      <c r="B153" s="74"/>
      <c r="C153" s="74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</row>
    <row r="154" spans="1:29" ht="16.5" customHeight="1">
      <c r="A154" s="74"/>
      <c r="B154" s="74"/>
      <c r="C154" s="74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</row>
    <row r="155" spans="1:29" ht="16.5" customHeight="1">
      <c r="A155" s="74"/>
      <c r="B155" s="74"/>
      <c r="C155" s="74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</row>
    <row r="156" spans="1:29" ht="16.5" customHeight="1">
      <c r="A156" s="74"/>
      <c r="B156" s="74"/>
      <c r="C156" s="74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</row>
    <row r="157" spans="1:29" ht="16.5" customHeight="1">
      <c r="A157" s="74"/>
      <c r="B157" s="74"/>
      <c r="C157" s="74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</row>
    <row r="158" spans="1:29" ht="16.5" customHeight="1">
      <c r="A158" s="74"/>
      <c r="B158" s="74"/>
      <c r="C158" s="74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</row>
    <row r="159" spans="1:29" ht="16.5" customHeight="1">
      <c r="A159" s="74"/>
      <c r="B159" s="74"/>
      <c r="C159" s="74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</row>
    <row r="160" spans="1:29" ht="16.5" customHeight="1">
      <c r="A160" s="74"/>
      <c r="B160" s="74"/>
      <c r="C160" s="74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</row>
    <row r="161" spans="1:29" ht="16.5" customHeight="1">
      <c r="A161" s="74"/>
      <c r="B161" s="74"/>
      <c r="C161" s="74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</row>
    <row r="162" spans="1:29" ht="16.5" customHeight="1">
      <c r="A162" s="74"/>
      <c r="B162" s="74"/>
      <c r="C162" s="74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</row>
    <row r="163" spans="1:29" ht="16.5" customHeight="1">
      <c r="A163" s="74"/>
      <c r="B163" s="74"/>
      <c r="C163" s="74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</row>
    <row r="164" spans="1:29" ht="16.5" customHeight="1">
      <c r="A164" s="74"/>
      <c r="B164" s="74"/>
      <c r="C164" s="74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</row>
    <row r="165" spans="1:29" ht="16.5" customHeight="1">
      <c r="A165" s="74"/>
      <c r="B165" s="74"/>
      <c r="C165" s="74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</row>
    <row r="166" spans="1:29" ht="16.5" customHeight="1">
      <c r="A166" s="74"/>
      <c r="B166" s="74"/>
      <c r="C166" s="74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</row>
    <row r="167" spans="1:29" ht="16.5" customHeight="1">
      <c r="A167" s="74"/>
      <c r="B167" s="74"/>
      <c r="C167" s="74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</row>
    <row r="168" spans="1:29" ht="16.5" customHeight="1">
      <c r="A168" s="74"/>
      <c r="B168" s="74"/>
      <c r="C168" s="74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</row>
    <row r="169" spans="1:29" ht="16.5" customHeight="1">
      <c r="A169" s="74"/>
      <c r="B169" s="74"/>
      <c r="C169" s="74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</row>
    <row r="170" spans="1:29" ht="16.5" customHeight="1">
      <c r="A170" s="74"/>
      <c r="B170" s="74"/>
      <c r="C170" s="74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</row>
    <row r="171" spans="1:29" ht="16.5" customHeight="1">
      <c r="A171" s="74"/>
      <c r="B171" s="74"/>
      <c r="C171" s="74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</row>
    <row r="172" spans="1:29" ht="16.5" customHeight="1">
      <c r="A172" s="74"/>
      <c r="B172" s="74"/>
      <c r="C172" s="74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</row>
    <row r="173" spans="1:29" ht="16.5" customHeight="1">
      <c r="A173" s="74"/>
      <c r="B173" s="74"/>
      <c r="C173" s="74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</row>
    <row r="174" spans="1:29" ht="16.5" customHeight="1">
      <c r="A174" s="74"/>
      <c r="B174" s="74"/>
      <c r="C174" s="74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</row>
    <row r="175" spans="1:29" ht="16.5" customHeight="1">
      <c r="A175" s="74"/>
      <c r="B175" s="74"/>
      <c r="C175" s="74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</row>
    <row r="176" spans="1:29" ht="16.5" customHeight="1">
      <c r="A176" s="74"/>
      <c r="B176" s="74"/>
      <c r="C176" s="74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</row>
    <row r="177" spans="1:29" ht="16.5" customHeight="1">
      <c r="A177" s="74"/>
      <c r="B177" s="74"/>
      <c r="C177" s="74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</row>
    <row r="178" spans="1:29" ht="16.5" customHeight="1">
      <c r="A178" s="74"/>
      <c r="B178" s="74"/>
      <c r="C178" s="74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</row>
    <row r="179" spans="1:29" ht="16.5" customHeight="1">
      <c r="A179" s="74"/>
      <c r="B179" s="74"/>
      <c r="C179" s="74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</row>
    <row r="180" spans="1:29" ht="16.5" customHeight="1">
      <c r="A180" s="74"/>
      <c r="B180" s="74"/>
      <c r="C180" s="74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</row>
    <row r="181" spans="1:29" ht="16.5" customHeight="1">
      <c r="A181" s="74"/>
      <c r="B181" s="74"/>
      <c r="C181" s="74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</row>
    <row r="182" spans="1:29" ht="16.5" customHeight="1">
      <c r="A182" s="74"/>
      <c r="B182" s="74"/>
      <c r="C182" s="74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</row>
    <row r="183" spans="1:29" ht="16.5" customHeight="1">
      <c r="A183" s="74"/>
      <c r="B183" s="74"/>
      <c r="C183" s="74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</row>
    <row r="184" spans="1:29" ht="16.5" customHeight="1">
      <c r="A184" s="74"/>
      <c r="B184" s="74"/>
      <c r="C184" s="74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</row>
    <row r="185" spans="1:29" ht="16.5" customHeight="1">
      <c r="A185" s="74"/>
      <c r="B185" s="74"/>
      <c r="C185" s="74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</row>
    <row r="186" spans="1:29" ht="16.5" customHeight="1">
      <c r="A186" s="74"/>
      <c r="B186" s="74"/>
      <c r="C186" s="74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</row>
    <row r="187" spans="1:29" ht="16.5" customHeight="1">
      <c r="A187" s="74"/>
      <c r="B187" s="74"/>
      <c r="C187" s="74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</row>
    <row r="188" spans="1:29" ht="16.5" customHeight="1">
      <c r="A188" s="74"/>
      <c r="B188" s="74"/>
      <c r="C188" s="74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</row>
    <row r="189" spans="1:29" ht="16.5" customHeight="1">
      <c r="A189" s="74"/>
      <c r="B189" s="74"/>
      <c r="C189" s="74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</row>
    <row r="190" spans="1:29" ht="16.5" customHeight="1">
      <c r="A190" s="74"/>
      <c r="B190" s="74"/>
      <c r="C190" s="74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</row>
    <row r="191" spans="1:29" ht="16.5" customHeight="1">
      <c r="A191" s="74"/>
      <c r="B191" s="74"/>
      <c r="C191" s="74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</row>
    <row r="192" spans="1:29" ht="16.5" customHeight="1">
      <c r="A192" s="74"/>
      <c r="B192" s="74"/>
      <c r="C192" s="74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</row>
    <row r="193" spans="1:29" ht="16.5" customHeight="1">
      <c r="A193" s="74"/>
      <c r="B193" s="74"/>
      <c r="C193" s="74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</row>
    <row r="194" spans="1:29" ht="16.5" customHeight="1">
      <c r="A194" s="74"/>
      <c r="B194" s="74"/>
      <c r="C194" s="74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</row>
    <row r="195" spans="1:29" ht="16.5" customHeight="1">
      <c r="A195" s="74"/>
      <c r="B195" s="74"/>
      <c r="C195" s="74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</row>
    <row r="196" spans="1:29" ht="16.5" customHeight="1">
      <c r="A196" s="74"/>
      <c r="B196" s="74"/>
      <c r="C196" s="74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</row>
    <row r="197" spans="1:29" ht="16.5" customHeight="1">
      <c r="A197" s="74"/>
      <c r="B197" s="74"/>
      <c r="C197" s="74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</row>
    <row r="198" spans="1:29" ht="16.5" customHeight="1">
      <c r="A198" s="74"/>
      <c r="B198" s="74"/>
      <c r="C198" s="74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</row>
    <row r="199" spans="1:29" ht="16.5" customHeight="1">
      <c r="A199" s="74"/>
      <c r="B199" s="74"/>
      <c r="C199" s="74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</row>
    <row r="200" spans="1:29" ht="16.5" customHeight="1">
      <c r="A200" s="74"/>
      <c r="B200" s="74"/>
      <c r="C200" s="74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</row>
    <row r="201" spans="1:29" ht="16.5" customHeight="1">
      <c r="A201" s="74"/>
      <c r="B201" s="74"/>
      <c r="C201" s="74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</row>
    <row r="202" spans="1:29" ht="16.5" customHeight="1">
      <c r="A202" s="74"/>
      <c r="B202" s="74"/>
      <c r="C202" s="74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</row>
    <row r="203" spans="1:29" ht="16.5" customHeight="1">
      <c r="A203" s="74"/>
      <c r="B203" s="74"/>
      <c r="C203" s="74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</row>
    <row r="204" spans="1:29" ht="16.5" customHeight="1">
      <c r="A204" s="74"/>
      <c r="B204" s="74"/>
      <c r="C204" s="74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</row>
    <row r="205" spans="1:29" ht="16.5" customHeight="1">
      <c r="A205" s="74"/>
      <c r="B205" s="74"/>
      <c r="C205" s="74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</row>
    <row r="206" spans="1:29" ht="16.5" customHeight="1">
      <c r="A206" s="74"/>
      <c r="B206" s="74"/>
      <c r="C206" s="74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</row>
    <row r="207" spans="1:29" ht="16.5" customHeight="1">
      <c r="A207" s="74"/>
      <c r="B207" s="74"/>
      <c r="C207" s="74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</row>
    <row r="208" spans="1:29" ht="16.5" customHeight="1">
      <c r="A208" s="74"/>
      <c r="B208" s="74"/>
      <c r="C208" s="74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</row>
    <row r="209" spans="1:29" ht="16.5" customHeight="1">
      <c r="A209" s="74"/>
      <c r="B209" s="74"/>
      <c r="C209" s="74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</row>
    <row r="210" spans="1:29" ht="16.5" customHeight="1">
      <c r="A210" s="74"/>
      <c r="B210" s="74"/>
      <c r="C210" s="74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</row>
    <row r="211" spans="1:29" ht="16.5" customHeight="1">
      <c r="A211" s="74"/>
      <c r="B211" s="74"/>
      <c r="C211" s="74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</row>
    <row r="212" spans="1:29" ht="16.5" customHeight="1">
      <c r="A212" s="74"/>
      <c r="B212" s="74"/>
      <c r="C212" s="74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</row>
    <row r="213" spans="1:29" ht="15.75" customHeight="1"/>
    <row r="214" spans="1:29" ht="15.75" customHeight="1"/>
    <row r="215" spans="1:29" ht="15.75" customHeight="1"/>
    <row r="216" spans="1:29" ht="15.75" customHeight="1"/>
    <row r="217" spans="1:29" ht="15.75" customHeight="1"/>
    <row r="218" spans="1:29" ht="15.75" customHeight="1"/>
    <row r="219" spans="1:29" ht="15.75" customHeight="1"/>
    <row r="220" spans="1:29" ht="15.75" customHeight="1"/>
    <row r="221" spans="1:29" ht="15.75" customHeight="1"/>
    <row r="222" spans="1:29" ht="15.75" customHeight="1"/>
    <row r="223" spans="1:29" ht="15.75" customHeight="1"/>
    <row r="224" spans="1:29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48">
    <mergeCell ref="V3:W3"/>
    <mergeCell ref="X3:Y3"/>
    <mergeCell ref="H3:I3"/>
    <mergeCell ref="J3:K3"/>
    <mergeCell ref="L3:M3"/>
    <mergeCell ref="N3:O3"/>
    <mergeCell ref="P3:Q3"/>
    <mergeCell ref="R3:S3"/>
    <mergeCell ref="T3:U3"/>
    <mergeCell ref="AD1:AE1"/>
    <mergeCell ref="AF1:AG1"/>
    <mergeCell ref="L1:M1"/>
    <mergeCell ref="N1:O1"/>
    <mergeCell ref="P1:Q1"/>
    <mergeCell ref="R1:S1"/>
    <mergeCell ref="T1:U1"/>
    <mergeCell ref="V1:W1"/>
    <mergeCell ref="X1:Y1"/>
    <mergeCell ref="A1:A4"/>
    <mergeCell ref="B1:B4"/>
    <mergeCell ref="C1:C4"/>
    <mergeCell ref="D1:E1"/>
    <mergeCell ref="F1:G1"/>
    <mergeCell ref="D3:E3"/>
    <mergeCell ref="F3:G3"/>
    <mergeCell ref="D2:E2"/>
    <mergeCell ref="F2:G2"/>
    <mergeCell ref="AF2:AG2"/>
    <mergeCell ref="Z3:AA3"/>
    <mergeCell ref="AF3:AG3"/>
    <mergeCell ref="H1:I1"/>
    <mergeCell ref="J1:K1"/>
    <mergeCell ref="AB3:AC3"/>
    <mergeCell ref="AD3:AE3"/>
    <mergeCell ref="N2:O2"/>
    <mergeCell ref="P2:Q2"/>
    <mergeCell ref="R2:S2"/>
    <mergeCell ref="T2:U2"/>
    <mergeCell ref="H2:I2"/>
    <mergeCell ref="J2:K2"/>
    <mergeCell ref="L2:M2"/>
    <mergeCell ref="Z1:AA1"/>
    <mergeCell ref="AB1:AC1"/>
    <mergeCell ref="V2:W2"/>
    <mergeCell ref="X2:Y2"/>
    <mergeCell ref="Z2:AA2"/>
    <mergeCell ref="AB2:AC2"/>
    <mergeCell ref="AD2:AE2"/>
  </mergeCells>
  <phoneticPr fontId="23" type="noConversion"/>
  <pageMargins left="0.70866141732283505" right="0.70866141732283505" top="0.74803149606299202" bottom="0.74803149606299202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Y997"/>
  <sheetViews>
    <sheetView topLeftCell="R1" workbookViewId="0">
      <selection activeCell="AF3" sqref="AF3:AG3"/>
    </sheetView>
  </sheetViews>
  <sheetFormatPr baseColWidth="10" defaultColWidth="11.1640625" defaultRowHeight="15" customHeight="1"/>
  <cols>
    <col min="1" max="1" width="13.6640625" style="119" customWidth="1"/>
    <col min="2" max="2" width="54.5" customWidth="1"/>
    <col min="3" max="3" width="9.5" customWidth="1"/>
    <col min="4" max="4" width="7.5" customWidth="1"/>
    <col min="5" max="5" width="7.6640625" customWidth="1"/>
    <col min="6" max="6" width="7.5" customWidth="1"/>
    <col min="7" max="7" width="7.33203125" customWidth="1"/>
    <col min="8" max="8" width="7.5" customWidth="1"/>
    <col min="9" max="9" width="7" customWidth="1"/>
    <col min="10" max="10" width="6.83203125" customWidth="1"/>
    <col min="11" max="11" width="7.6640625" customWidth="1"/>
    <col min="12" max="12" width="7.1640625" customWidth="1"/>
    <col min="13" max="13" width="6.33203125" customWidth="1"/>
    <col min="14" max="15" width="6.6640625" customWidth="1"/>
    <col min="16" max="17" width="6.5" customWidth="1"/>
    <col min="18" max="18" width="6.6640625" customWidth="1"/>
    <col min="19" max="19" width="5.83203125" customWidth="1"/>
    <col min="20" max="20" width="6.5" customWidth="1"/>
    <col min="21" max="21" width="6.6640625" bestFit="1" customWidth="1"/>
    <col min="22" max="22" width="6.1640625" customWidth="1"/>
    <col min="23" max="23" width="6.6640625" bestFit="1" customWidth="1"/>
    <col min="24" max="24" width="6.1640625" customWidth="1"/>
    <col min="25" max="25" width="5.83203125" customWidth="1"/>
    <col min="26" max="26" width="6.33203125" customWidth="1"/>
    <col min="27" max="27" width="6.6640625" bestFit="1" customWidth="1"/>
    <col min="28" max="28" width="6.33203125" customWidth="1"/>
    <col min="29" max="29" width="5.1640625" customWidth="1"/>
    <col min="30" max="30" width="6.83203125" customWidth="1"/>
    <col min="31" max="31" width="5.83203125" customWidth="1"/>
    <col min="32" max="32" width="6.1640625" customWidth="1"/>
    <col min="33" max="33" width="8" bestFit="1" customWidth="1"/>
    <col min="34" max="51" width="5.1640625" customWidth="1"/>
  </cols>
  <sheetData>
    <row r="1" spans="1:51" ht="15.75" customHeight="1">
      <c r="A1" s="131" t="s">
        <v>135</v>
      </c>
      <c r="B1" s="133" t="s">
        <v>136</v>
      </c>
      <c r="C1" s="131" t="s">
        <v>137</v>
      </c>
      <c r="D1" s="128" t="s">
        <v>138</v>
      </c>
      <c r="E1" s="129"/>
      <c r="F1" s="128" t="s">
        <v>138</v>
      </c>
      <c r="G1" s="129"/>
      <c r="H1" s="128" t="s">
        <v>138</v>
      </c>
      <c r="I1" s="129"/>
      <c r="J1" s="128" t="s">
        <v>138</v>
      </c>
      <c r="K1" s="129"/>
      <c r="L1" s="128" t="s">
        <v>138</v>
      </c>
      <c r="M1" s="129"/>
      <c r="N1" s="128" t="s">
        <v>138</v>
      </c>
      <c r="O1" s="129"/>
      <c r="P1" s="128" t="s">
        <v>138</v>
      </c>
      <c r="Q1" s="129"/>
      <c r="R1" s="128" t="s">
        <v>138</v>
      </c>
      <c r="S1" s="129"/>
      <c r="T1" s="128" t="s">
        <v>138</v>
      </c>
      <c r="U1" s="129"/>
      <c r="V1" s="128" t="s">
        <v>138</v>
      </c>
      <c r="W1" s="129"/>
      <c r="X1" s="128" t="s">
        <v>138</v>
      </c>
      <c r="Y1" s="129"/>
      <c r="Z1" s="128" t="s">
        <v>138</v>
      </c>
      <c r="AA1" s="129"/>
      <c r="AB1" s="128" t="s">
        <v>138</v>
      </c>
      <c r="AC1" s="129"/>
      <c r="AD1" s="128" t="s">
        <v>138</v>
      </c>
      <c r="AE1" s="129"/>
      <c r="AF1" s="128" t="s">
        <v>138</v>
      </c>
      <c r="AG1" s="129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</row>
    <row r="2" spans="1:51" ht="16.5" customHeight="1">
      <c r="A2" s="196"/>
      <c r="B2" s="132"/>
      <c r="C2" s="132"/>
      <c r="D2" s="130" t="s">
        <v>2</v>
      </c>
      <c r="E2" s="122"/>
      <c r="F2" s="130" t="s">
        <v>2</v>
      </c>
      <c r="G2" s="122"/>
      <c r="H2" s="130" t="s">
        <v>2</v>
      </c>
      <c r="I2" s="122"/>
      <c r="J2" s="130" t="s">
        <v>2</v>
      </c>
      <c r="K2" s="122"/>
      <c r="L2" s="130" t="s">
        <v>2</v>
      </c>
      <c r="M2" s="122"/>
      <c r="N2" s="130" t="s">
        <v>2</v>
      </c>
      <c r="O2" s="122"/>
      <c r="P2" s="130" t="s">
        <v>2</v>
      </c>
      <c r="Q2" s="124"/>
      <c r="R2" s="123" t="s">
        <v>3</v>
      </c>
      <c r="S2" s="122"/>
      <c r="T2" s="123" t="s">
        <v>3</v>
      </c>
      <c r="U2" s="122"/>
      <c r="V2" s="123" t="s">
        <v>3</v>
      </c>
      <c r="W2" s="122"/>
      <c r="X2" s="123" t="s">
        <v>3</v>
      </c>
      <c r="Y2" s="122"/>
      <c r="Z2" s="123" t="s">
        <v>3</v>
      </c>
      <c r="AA2" s="122"/>
      <c r="AB2" s="123" t="s">
        <v>3</v>
      </c>
      <c r="AC2" s="122"/>
      <c r="AD2" s="123" t="s">
        <v>3</v>
      </c>
      <c r="AE2" s="124"/>
      <c r="AF2" s="125" t="s">
        <v>4</v>
      </c>
      <c r="AG2" s="122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</row>
    <row r="3" spans="1:51" ht="15.75" customHeight="1">
      <c r="A3" s="196"/>
      <c r="B3" s="132"/>
      <c r="C3" s="132"/>
      <c r="D3" s="126" t="s">
        <v>90</v>
      </c>
      <c r="E3" s="127"/>
      <c r="F3" s="134" t="s">
        <v>91</v>
      </c>
      <c r="G3" s="135"/>
      <c r="H3" s="194" t="s">
        <v>92</v>
      </c>
      <c r="I3" s="127"/>
      <c r="J3" s="194" t="s">
        <v>93</v>
      </c>
      <c r="K3" s="127"/>
      <c r="L3" s="126" t="s">
        <v>94</v>
      </c>
      <c r="M3" s="127"/>
      <c r="N3" s="126" t="s">
        <v>95</v>
      </c>
      <c r="O3" s="127"/>
      <c r="P3" s="126" t="s">
        <v>96</v>
      </c>
      <c r="Q3" s="127"/>
      <c r="R3" s="126" t="s">
        <v>97</v>
      </c>
      <c r="S3" s="127"/>
      <c r="T3" s="194" t="s">
        <v>98</v>
      </c>
      <c r="U3" s="127"/>
      <c r="V3" s="189" t="s">
        <v>99</v>
      </c>
      <c r="W3" s="135"/>
      <c r="X3" s="126" t="s">
        <v>100</v>
      </c>
      <c r="Y3" s="127"/>
      <c r="Z3" s="126" t="s">
        <v>101</v>
      </c>
      <c r="AA3" s="127"/>
      <c r="AB3" s="126" t="s">
        <v>102</v>
      </c>
      <c r="AC3" s="127"/>
      <c r="AD3" s="126" t="s">
        <v>103</v>
      </c>
      <c r="AE3" s="127"/>
      <c r="AF3" s="126" t="s">
        <v>104</v>
      </c>
      <c r="AG3" s="127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</row>
    <row r="4" spans="1:51" ht="41.25" customHeight="1">
      <c r="A4" s="196"/>
      <c r="B4" s="132"/>
      <c r="C4" s="132"/>
      <c r="D4" s="86" t="s">
        <v>139</v>
      </c>
      <c r="E4" s="83" t="s">
        <v>140</v>
      </c>
      <c r="F4" s="86" t="s">
        <v>139</v>
      </c>
      <c r="G4" s="83" t="s">
        <v>140</v>
      </c>
      <c r="H4" s="86" t="s">
        <v>139</v>
      </c>
      <c r="I4" s="83" t="s">
        <v>140</v>
      </c>
      <c r="J4" s="86" t="s">
        <v>139</v>
      </c>
      <c r="K4" s="83" t="s">
        <v>140</v>
      </c>
      <c r="L4" s="86" t="s">
        <v>139</v>
      </c>
      <c r="M4" s="83" t="s">
        <v>140</v>
      </c>
      <c r="N4" s="86" t="s">
        <v>139</v>
      </c>
      <c r="O4" s="83" t="s">
        <v>140</v>
      </c>
      <c r="P4" s="86" t="s">
        <v>139</v>
      </c>
      <c r="Q4" s="83" t="s">
        <v>140</v>
      </c>
      <c r="R4" s="86" t="s">
        <v>139</v>
      </c>
      <c r="S4" s="83" t="s">
        <v>140</v>
      </c>
      <c r="T4" s="86" t="s">
        <v>139</v>
      </c>
      <c r="U4" s="83" t="s">
        <v>140</v>
      </c>
      <c r="V4" s="86" t="s">
        <v>139</v>
      </c>
      <c r="W4" s="83" t="s">
        <v>140</v>
      </c>
      <c r="X4" s="86" t="s">
        <v>139</v>
      </c>
      <c r="Y4" s="83" t="s">
        <v>140</v>
      </c>
      <c r="Z4" s="86" t="s">
        <v>139</v>
      </c>
      <c r="AA4" s="83" t="s">
        <v>140</v>
      </c>
      <c r="AB4" s="86" t="s">
        <v>139</v>
      </c>
      <c r="AC4" s="83" t="s">
        <v>140</v>
      </c>
      <c r="AD4" s="86" t="s">
        <v>139</v>
      </c>
      <c r="AE4" s="83" t="s">
        <v>140</v>
      </c>
      <c r="AF4" s="86" t="s">
        <v>139</v>
      </c>
      <c r="AG4" s="83" t="s">
        <v>140</v>
      </c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</row>
    <row r="5" spans="1:51" ht="15.75" customHeight="1">
      <c r="A5" s="96"/>
      <c r="B5" s="98"/>
      <c r="C5" s="94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</row>
    <row r="6" spans="1:51" ht="16.5" customHeight="1">
      <c r="A6" s="96"/>
      <c r="B6" s="98"/>
      <c r="C6" s="94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</row>
    <row r="7" spans="1:51" ht="15.75" customHeight="1">
      <c r="A7" s="96"/>
      <c r="B7" s="98"/>
      <c r="C7" s="94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</row>
    <row r="8" spans="1:51" ht="15.75" customHeight="1">
      <c r="A8" s="96"/>
      <c r="B8" s="98"/>
      <c r="C8" s="94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</row>
    <row r="9" spans="1:51" ht="15.75" customHeight="1">
      <c r="A9" s="96"/>
      <c r="B9" s="98"/>
      <c r="C9" s="94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</row>
    <row r="10" spans="1:51" ht="15.75" customHeight="1">
      <c r="A10" s="96"/>
      <c r="B10" s="98"/>
      <c r="C10" s="94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</row>
    <row r="11" spans="1:51" ht="15.75" customHeight="1">
      <c r="A11" s="96"/>
      <c r="B11" s="98"/>
      <c r="C11" s="94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</row>
    <row r="12" spans="1:51" ht="15.75" customHeight="1">
      <c r="A12" s="96"/>
      <c r="B12" s="98"/>
      <c r="C12" s="94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</row>
    <row r="13" spans="1:51" ht="15.75" customHeight="1">
      <c r="A13" s="96"/>
      <c r="B13" s="98"/>
      <c r="C13" s="94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</row>
    <row r="14" spans="1:51" ht="15.75" customHeight="1">
      <c r="A14" s="96"/>
      <c r="B14" s="98"/>
      <c r="C14" s="94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</row>
    <row r="15" spans="1:51" ht="16.5" customHeight="1">
      <c r="A15" s="100"/>
      <c r="B15" s="94"/>
      <c r="C15" s="94"/>
      <c r="D15" s="103">
        <f>SUM(D5:D14)</f>
        <v>0</v>
      </c>
      <c r="E15" s="103">
        <f t="shared" ref="E15:AG15" si="0">SUM(E5:E14)</f>
        <v>0</v>
      </c>
      <c r="F15" s="103">
        <f t="shared" si="0"/>
        <v>0</v>
      </c>
      <c r="G15" s="103">
        <f t="shared" si="0"/>
        <v>0</v>
      </c>
      <c r="H15" s="103">
        <f t="shared" si="0"/>
        <v>0</v>
      </c>
      <c r="I15" s="103">
        <f t="shared" si="0"/>
        <v>0</v>
      </c>
      <c r="J15" s="103">
        <f t="shared" si="0"/>
        <v>0</v>
      </c>
      <c r="K15" s="103">
        <f t="shared" si="0"/>
        <v>0</v>
      </c>
      <c r="L15" s="103">
        <f t="shared" si="0"/>
        <v>0</v>
      </c>
      <c r="M15" s="103">
        <f t="shared" si="0"/>
        <v>0</v>
      </c>
      <c r="N15" s="103">
        <f t="shared" si="0"/>
        <v>0</v>
      </c>
      <c r="O15" s="103">
        <f t="shared" si="0"/>
        <v>0</v>
      </c>
      <c r="P15" s="103">
        <f t="shared" si="0"/>
        <v>0</v>
      </c>
      <c r="Q15" s="103">
        <f t="shared" si="0"/>
        <v>0</v>
      </c>
      <c r="R15" s="103">
        <f t="shared" si="0"/>
        <v>0</v>
      </c>
      <c r="S15" s="103">
        <f t="shared" si="0"/>
        <v>0</v>
      </c>
      <c r="T15" s="103">
        <f t="shared" si="0"/>
        <v>0</v>
      </c>
      <c r="U15" s="103">
        <f t="shared" si="0"/>
        <v>0</v>
      </c>
      <c r="V15" s="103">
        <f t="shared" si="0"/>
        <v>0</v>
      </c>
      <c r="W15" s="103">
        <f t="shared" si="0"/>
        <v>0</v>
      </c>
      <c r="X15" s="103">
        <f t="shared" si="0"/>
        <v>0</v>
      </c>
      <c r="Y15" s="103">
        <f t="shared" si="0"/>
        <v>0</v>
      </c>
      <c r="Z15" s="103">
        <f t="shared" si="0"/>
        <v>0</v>
      </c>
      <c r="AA15" s="103">
        <f t="shared" si="0"/>
        <v>0</v>
      </c>
      <c r="AB15" s="103">
        <f t="shared" si="0"/>
        <v>0</v>
      </c>
      <c r="AC15" s="103">
        <f t="shared" si="0"/>
        <v>0</v>
      </c>
      <c r="AD15" s="103">
        <f t="shared" si="0"/>
        <v>0</v>
      </c>
      <c r="AE15" s="103">
        <f t="shared" si="0"/>
        <v>0</v>
      </c>
      <c r="AF15" s="103">
        <f t="shared" si="0"/>
        <v>0</v>
      </c>
      <c r="AG15" s="103">
        <f t="shared" si="0"/>
        <v>0</v>
      </c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</row>
    <row r="16" spans="1:51" ht="16.5" customHeight="1">
      <c r="A16" s="100"/>
      <c r="B16" s="94"/>
      <c r="C16" s="94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94"/>
      <c r="AE16" s="94"/>
      <c r="AF16" s="94"/>
      <c r="AG16" s="9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</row>
    <row r="17" spans="1:51" ht="16.5" customHeight="1">
      <c r="A17" s="37"/>
      <c r="B17" s="74"/>
      <c r="C17" s="74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</row>
    <row r="18" spans="1:51" ht="16.5" customHeight="1">
      <c r="A18" s="37"/>
      <c r="B18" s="74"/>
      <c r="C18" s="74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</row>
    <row r="19" spans="1:51" ht="16.5" customHeight="1">
      <c r="A19" s="37"/>
      <c r="B19" s="74"/>
      <c r="C19" s="74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</row>
    <row r="20" spans="1:51" ht="16.5" customHeight="1">
      <c r="A20" s="37"/>
      <c r="B20" s="74"/>
      <c r="C20" s="74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</row>
    <row r="21" spans="1:51" ht="16.5" customHeight="1">
      <c r="A21" s="37"/>
      <c r="B21" s="74"/>
      <c r="C21" s="74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</row>
    <row r="22" spans="1:51" ht="16.5" customHeight="1">
      <c r="A22" s="37"/>
      <c r="B22" s="74"/>
      <c r="C22" s="74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</row>
    <row r="23" spans="1:51" ht="16.5" customHeight="1">
      <c r="A23" s="37"/>
      <c r="B23" s="74"/>
      <c r="C23" s="74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</row>
    <row r="24" spans="1:51" ht="16.5" customHeight="1">
      <c r="A24" s="37"/>
      <c r="B24" s="74"/>
      <c r="C24" s="74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</row>
    <row r="25" spans="1:51" ht="16.5" customHeight="1">
      <c r="A25" s="37"/>
      <c r="B25" s="74"/>
      <c r="C25" s="74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</row>
    <row r="26" spans="1:51" ht="16.5" customHeight="1">
      <c r="A26" s="37"/>
      <c r="B26" s="74"/>
      <c r="C26" s="74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</row>
    <row r="27" spans="1:51" ht="16.5" customHeight="1">
      <c r="A27" s="37"/>
      <c r="B27" s="74"/>
      <c r="C27" s="74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</row>
    <row r="28" spans="1:51" ht="16.5" customHeight="1">
      <c r="A28" s="37"/>
      <c r="B28" s="74"/>
      <c r="C28" s="74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</row>
    <row r="29" spans="1:51" ht="16.5" customHeight="1">
      <c r="A29" s="37"/>
      <c r="B29" s="74"/>
      <c r="C29" s="74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</row>
    <row r="30" spans="1:51" ht="16.5" customHeight="1">
      <c r="A30" s="37"/>
      <c r="B30" s="74"/>
      <c r="C30" s="74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</row>
    <row r="31" spans="1:51" ht="16.5" customHeight="1">
      <c r="A31" s="37"/>
      <c r="B31" s="74"/>
      <c r="C31" s="74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</row>
    <row r="32" spans="1:51" ht="16.5" customHeight="1">
      <c r="A32" s="37"/>
      <c r="B32" s="74"/>
      <c r="C32" s="74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</row>
    <row r="33" spans="1:51" ht="16.5" customHeight="1">
      <c r="A33" s="37"/>
      <c r="B33" s="74"/>
      <c r="C33" s="74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</row>
    <row r="34" spans="1:51" ht="16.5" customHeight="1">
      <c r="A34" s="37"/>
      <c r="B34" s="74"/>
      <c r="C34" s="74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</row>
    <row r="35" spans="1:51" ht="16.5" customHeight="1">
      <c r="A35" s="37"/>
      <c r="B35" s="74"/>
      <c r="C35" s="74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</row>
    <row r="36" spans="1:51" ht="16.5" customHeight="1">
      <c r="A36" s="37"/>
      <c r="B36" s="74"/>
      <c r="C36" s="74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</row>
    <row r="37" spans="1:51" ht="16.5" customHeight="1">
      <c r="A37" s="37"/>
      <c r="B37" s="74"/>
      <c r="C37" s="74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</row>
    <row r="38" spans="1:51" ht="16.5" customHeight="1">
      <c r="A38" s="37"/>
      <c r="B38" s="74"/>
      <c r="C38" s="74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</row>
    <row r="39" spans="1:51" ht="16.5" customHeight="1">
      <c r="A39" s="37"/>
      <c r="B39" s="74"/>
      <c r="C39" s="74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</row>
    <row r="40" spans="1:51" ht="16.5" customHeight="1">
      <c r="A40" s="37"/>
      <c r="B40" s="74"/>
      <c r="C40" s="74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</row>
    <row r="41" spans="1:51" ht="16.5" customHeight="1">
      <c r="A41" s="37"/>
      <c r="B41" s="74"/>
      <c r="C41" s="74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</row>
    <row r="42" spans="1:51" ht="16.5" customHeight="1">
      <c r="A42" s="37"/>
      <c r="B42" s="74"/>
      <c r="C42" s="74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</row>
    <row r="43" spans="1:51" ht="16.5" customHeight="1">
      <c r="A43" s="37"/>
      <c r="B43" s="74"/>
      <c r="C43" s="74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</row>
    <row r="44" spans="1:51" ht="16.5" customHeight="1">
      <c r="A44" s="37"/>
      <c r="B44" s="74"/>
      <c r="C44" s="74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</row>
    <row r="45" spans="1:51" ht="16.5" customHeight="1">
      <c r="A45" s="37"/>
      <c r="B45" s="74"/>
      <c r="C45" s="74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</row>
    <row r="46" spans="1:51" ht="16.5" customHeight="1">
      <c r="A46" s="37"/>
      <c r="B46" s="74"/>
      <c r="C46" s="74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</row>
    <row r="47" spans="1:51" ht="16.5" customHeight="1">
      <c r="A47" s="37"/>
      <c r="B47" s="74"/>
      <c r="C47" s="74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</row>
    <row r="48" spans="1:51" ht="16.5" customHeight="1">
      <c r="A48" s="37"/>
      <c r="B48" s="74"/>
      <c r="C48" s="74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</row>
    <row r="49" spans="1:51" ht="16.5" customHeight="1">
      <c r="A49" s="37"/>
      <c r="B49" s="74"/>
      <c r="C49" s="74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</row>
    <row r="50" spans="1:51" ht="16.5" customHeight="1">
      <c r="A50" s="37"/>
      <c r="B50" s="74"/>
      <c r="C50" s="74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</row>
    <row r="51" spans="1:51" ht="16.5" customHeight="1">
      <c r="A51" s="37"/>
      <c r="B51" s="74"/>
      <c r="C51" s="74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</row>
    <row r="52" spans="1:51" ht="16.5" customHeight="1">
      <c r="A52" s="37"/>
      <c r="B52" s="74"/>
      <c r="C52" s="74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</row>
    <row r="53" spans="1:51" ht="16.5" customHeight="1">
      <c r="A53" s="37"/>
      <c r="B53" s="74"/>
      <c r="C53" s="74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</row>
    <row r="54" spans="1:51" ht="16.5" customHeight="1">
      <c r="A54" s="37"/>
      <c r="B54" s="74"/>
      <c r="C54" s="74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</row>
    <row r="55" spans="1:51" ht="16.5" customHeight="1">
      <c r="A55" s="37"/>
      <c r="B55" s="74"/>
      <c r="C55" s="74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</row>
    <row r="56" spans="1:51" ht="16.5" customHeight="1">
      <c r="A56" s="37"/>
      <c r="B56" s="74"/>
      <c r="C56" s="74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</row>
    <row r="57" spans="1:51" ht="16.5" customHeight="1">
      <c r="A57" s="37"/>
      <c r="B57" s="74"/>
      <c r="C57" s="74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</row>
    <row r="58" spans="1:51" ht="16.5" customHeight="1">
      <c r="A58" s="37"/>
      <c r="B58" s="74"/>
      <c r="C58" s="74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</row>
    <row r="59" spans="1:51" ht="16.5" customHeight="1">
      <c r="A59" s="37"/>
      <c r="B59" s="74"/>
      <c r="C59" s="74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</row>
    <row r="60" spans="1:51" ht="16.5" customHeight="1">
      <c r="A60" s="37"/>
      <c r="B60" s="74"/>
      <c r="C60" s="74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</row>
    <row r="61" spans="1:51" ht="16.5" customHeight="1">
      <c r="A61" s="37"/>
      <c r="B61" s="74"/>
      <c r="C61" s="74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</row>
    <row r="62" spans="1:51" ht="16.5" customHeight="1">
      <c r="A62" s="37"/>
      <c r="B62" s="74"/>
      <c r="C62" s="74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</row>
    <row r="63" spans="1:51" ht="16.5" customHeight="1">
      <c r="A63" s="37"/>
      <c r="B63" s="74"/>
      <c r="C63" s="74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</row>
    <row r="64" spans="1:51" ht="16.5" customHeight="1">
      <c r="A64" s="37"/>
      <c r="B64" s="74"/>
      <c r="C64" s="74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</row>
    <row r="65" spans="1:51" ht="16.5" customHeight="1">
      <c r="A65" s="37"/>
      <c r="B65" s="74"/>
      <c r="C65" s="74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</row>
    <row r="66" spans="1:51" ht="16.5" customHeight="1">
      <c r="A66" s="37"/>
      <c r="B66" s="74"/>
      <c r="C66" s="74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</row>
    <row r="67" spans="1:51" ht="16.5" customHeight="1">
      <c r="A67" s="37"/>
      <c r="B67" s="74"/>
      <c r="C67" s="74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</row>
    <row r="68" spans="1:51" ht="16.5" customHeight="1">
      <c r="A68" s="37"/>
      <c r="B68" s="74"/>
      <c r="C68" s="74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</row>
    <row r="69" spans="1:51" ht="16.5" customHeight="1">
      <c r="A69" s="37"/>
      <c r="B69" s="74"/>
      <c r="C69" s="74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</row>
    <row r="70" spans="1:51" ht="16.5" customHeight="1">
      <c r="A70" s="37"/>
      <c r="B70" s="74"/>
      <c r="C70" s="74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</row>
    <row r="71" spans="1:51" ht="16.5" customHeight="1">
      <c r="A71" s="37"/>
      <c r="B71" s="74"/>
      <c r="C71" s="74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</row>
    <row r="72" spans="1:51" ht="16.5" customHeight="1">
      <c r="A72" s="37"/>
      <c r="B72" s="74"/>
      <c r="C72" s="74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</row>
    <row r="73" spans="1:51" ht="16.5" customHeight="1">
      <c r="A73" s="37"/>
      <c r="B73" s="74"/>
      <c r="C73" s="74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</row>
    <row r="74" spans="1:51" ht="16.5" customHeight="1">
      <c r="A74" s="37"/>
      <c r="B74" s="74"/>
      <c r="C74" s="74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</row>
    <row r="75" spans="1:51" ht="16.5" customHeight="1">
      <c r="A75" s="37"/>
      <c r="B75" s="74"/>
      <c r="C75" s="74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</row>
    <row r="76" spans="1:51" ht="16.5" customHeight="1">
      <c r="A76" s="37"/>
      <c r="B76" s="74"/>
      <c r="C76" s="74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</row>
    <row r="77" spans="1:51" ht="16.5" customHeight="1">
      <c r="A77" s="37"/>
      <c r="B77" s="74"/>
      <c r="C77" s="74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</row>
    <row r="78" spans="1:51" ht="16.5" customHeight="1">
      <c r="A78" s="37"/>
      <c r="B78" s="74"/>
      <c r="C78" s="74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</row>
    <row r="79" spans="1:51" ht="16.5" customHeight="1">
      <c r="A79" s="37"/>
      <c r="B79" s="74"/>
      <c r="C79" s="74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</row>
    <row r="80" spans="1:51" ht="16.5" customHeight="1">
      <c r="A80" s="37"/>
      <c r="B80" s="74"/>
      <c r="C80" s="74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</row>
    <row r="81" spans="1:51" ht="16.5" customHeight="1">
      <c r="A81" s="37"/>
      <c r="B81" s="74"/>
      <c r="C81" s="74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</row>
    <row r="82" spans="1:51" ht="16.5" customHeight="1">
      <c r="A82" s="37"/>
      <c r="B82" s="74"/>
      <c r="C82" s="74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</row>
    <row r="83" spans="1:51" ht="16.5" customHeight="1">
      <c r="A83" s="37"/>
      <c r="B83" s="74"/>
      <c r="C83" s="74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</row>
    <row r="84" spans="1:51" ht="16.5" customHeight="1">
      <c r="A84" s="37"/>
      <c r="B84" s="74"/>
      <c r="C84" s="74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</row>
    <row r="85" spans="1:51" ht="16.5" customHeight="1">
      <c r="A85" s="37"/>
      <c r="B85" s="74"/>
      <c r="C85" s="74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</row>
    <row r="86" spans="1:51" ht="16.5" customHeight="1">
      <c r="A86" s="37"/>
      <c r="B86" s="74"/>
      <c r="C86" s="74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</row>
    <row r="87" spans="1:51" ht="16.5" customHeight="1">
      <c r="A87" s="37"/>
      <c r="B87" s="74"/>
      <c r="C87" s="74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</row>
    <row r="88" spans="1:51" ht="16.5" customHeight="1">
      <c r="A88" s="37"/>
      <c r="B88" s="74"/>
      <c r="C88" s="74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</row>
    <row r="89" spans="1:51" ht="16.5" customHeight="1">
      <c r="A89" s="37"/>
      <c r="B89" s="74"/>
      <c r="C89" s="74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</row>
    <row r="90" spans="1:51" ht="16.5" customHeight="1">
      <c r="A90" s="37"/>
      <c r="B90" s="74"/>
      <c r="C90" s="74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</row>
    <row r="91" spans="1:51" ht="16.5" customHeight="1">
      <c r="A91" s="37"/>
      <c r="B91" s="74"/>
      <c r="C91" s="74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</row>
    <row r="92" spans="1:51" ht="16.5" customHeight="1">
      <c r="A92" s="37"/>
      <c r="B92" s="74"/>
      <c r="C92" s="74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</row>
    <row r="93" spans="1:51" ht="16.5" customHeight="1">
      <c r="A93" s="37"/>
      <c r="B93" s="74"/>
      <c r="C93" s="74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</row>
    <row r="94" spans="1:51" ht="16.5" customHeight="1">
      <c r="A94" s="37"/>
      <c r="B94" s="74"/>
      <c r="C94" s="74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</row>
    <row r="95" spans="1:51" ht="16.5" customHeight="1">
      <c r="A95" s="37"/>
      <c r="B95" s="74"/>
      <c r="C95" s="74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</row>
    <row r="96" spans="1:51" ht="16.5" customHeight="1">
      <c r="A96" s="37"/>
      <c r="B96" s="74"/>
      <c r="C96" s="74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</row>
    <row r="97" spans="1:51" ht="16.5" customHeight="1">
      <c r="A97" s="37"/>
      <c r="B97" s="74"/>
      <c r="C97" s="74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</row>
    <row r="98" spans="1:51" ht="16.5" customHeight="1">
      <c r="A98" s="37"/>
      <c r="B98" s="74"/>
      <c r="C98" s="74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</row>
    <row r="99" spans="1:51" ht="16.5" customHeight="1">
      <c r="A99" s="37"/>
      <c r="B99" s="74"/>
      <c r="C99" s="74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</row>
    <row r="100" spans="1:51" ht="16.5" customHeight="1">
      <c r="A100" s="37"/>
      <c r="B100" s="74"/>
      <c r="C100" s="74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</row>
    <row r="101" spans="1:51" ht="16.5" customHeight="1">
      <c r="A101" s="37"/>
      <c r="B101" s="74"/>
      <c r="C101" s="74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</row>
    <row r="102" spans="1:51" ht="16.5" customHeight="1">
      <c r="A102" s="37"/>
      <c r="B102" s="74"/>
      <c r="C102" s="74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</row>
    <row r="103" spans="1:51" ht="16.5" customHeight="1">
      <c r="A103" s="37"/>
      <c r="B103" s="74"/>
      <c r="C103" s="74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</row>
    <row r="104" spans="1:51" ht="16.5" customHeight="1">
      <c r="A104" s="37"/>
      <c r="B104" s="74"/>
      <c r="C104" s="74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</row>
    <row r="105" spans="1:51" ht="16.5" customHeight="1">
      <c r="A105" s="37"/>
      <c r="B105" s="74"/>
      <c r="C105" s="74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</row>
    <row r="106" spans="1:51" ht="16.5" customHeight="1">
      <c r="A106" s="37"/>
      <c r="B106" s="74"/>
      <c r="C106" s="74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</row>
    <row r="107" spans="1:51" ht="16.5" customHeight="1">
      <c r="A107" s="37"/>
      <c r="B107" s="74"/>
      <c r="C107" s="74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</row>
    <row r="108" spans="1:51" ht="16.5" customHeight="1">
      <c r="A108" s="37"/>
      <c r="B108" s="74"/>
      <c r="C108" s="74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</row>
    <row r="109" spans="1:51" ht="16.5" customHeight="1">
      <c r="A109" s="37"/>
      <c r="B109" s="74"/>
      <c r="C109" s="74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</row>
    <row r="110" spans="1:51" ht="16.5" customHeight="1">
      <c r="A110" s="37"/>
      <c r="B110" s="74"/>
      <c r="C110" s="74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</row>
    <row r="111" spans="1:51" ht="16.5" customHeight="1">
      <c r="A111" s="37"/>
      <c r="B111" s="74"/>
      <c r="C111" s="74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</row>
    <row r="112" spans="1:51" ht="16.5" customHeight="1">
      <c r="A112" s="37"/>
      <c r="B112" s="74"/>
      <c r="C112" s="74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</row>
    <row r="113" spans="1:51" ht="16.5" customHeight="1">
      <c r="A113" s="37"/>
      <c r="B113" s="74"/>
      <c r="C113" s="74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</row>
    <row r="114" spans="1:51" ht="16.5" customHeight="1">
      <c r="A114" s="37"/>
      <c r="B114" s="74"/>
      <c r="C114" s="74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</row>
    <row r="115" spans="1:51" ht="16.5" customHeight="1">
      <c r="A115" s="37"/>
      <c r="B115" s="74"/>
      <c r="C115" s="74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</row>
    <row r="116" spans="1:51" ht="16.5" customHeight="1">
      <c r="A116" s="37"/>
      <c r="B116" s="74"/>
      <c r="C116" s="74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</row>
    <row r="117" spans="1:51" ht="16.5" customHeight="1">
      <c r="A117" s="37"/>
      <c r="B117" s="74"/>
      <c r="C117" s="74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</row>
    <row r="118" spans="1:51" ht="16.5" customHeight="1">
      <c r="A118" s="37"/>
      <c r="B118" s="74"/>
      <c r="C118" s="74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</row>
    <row r="119" spans="1:51" ht="16.5" customHeight="1">
      <c r="A119" s="37"/>
      <c r="B119" s="74"/>
      <c r="C119" s="74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</row>
    <row r="120" spans="1:51" ht="16.5" customHeight="1">
      <c r="A120" s="37"/>
      <c r="B120" s="74"/>
      <c r="C120" s="74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</row>
    <row r="121" spans="1:51" ht="16.5" customHeight="1">
      <c r="A121" s="37"/>
      <c r="B121" s="74"/>
      <c r="C121" s="74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</row>
    <row r="122" spans="1:51" ht="16.5" customHeight="1">
      <c r="A122" s="37"/>
      <c r="B122" s="74"/>
      <c r="C122" s="74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</row>
    <row r="123" spans="1:51" ht="16.5" customHeight="1">
      <c r="A123" s="37"/>
      <c r="B123" s="74"/>
      <c r="C123" s="74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</row>
    <row r="124" spans="1:51" ht="16.5" customHeight="1">
      <c r="A124" s="37"/>
      <c r="B124" s="74"/>
      <c r="C124" s="74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</row>
    <row r="125" spans="1:51" ht="16.5" customHeight="1">
      <c r="A125" s="37"/>
      <c r="B125" s="74"/>
      <c r="C125" s="74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</row>
    <row r="126" spans="1:51" ht="16.5" customHeight="1">
      <c r="A126" s="37"/>
      <c r="B126" s="74"/>
      <c r="C126" s="74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</row>
    <row r="127" spans="1:51" ht="16.5" customHeight="1">
      <c r="A127" s="37"/>
      <c r="B127" s="74"/>
      <c r="C127" s="74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</row>
    <row r="128" spans="1:51" ht="16.5" customHeight="1">
      <c r="A128" s="37"/>
      <c r="B128" s="74"/>
      <c r="C128" s="74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</row>
    <row r="129" spans="1:51" ht="16.5" customHeight="1">
      <c r="A129" s="37"/>
      <c r="B129" s="74"/>
      <c r="C129" s="74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</row>
    <row r="130" spans="1:51" ht="16.5" customHeight="1">
      <c r="A130" s="37"/>
      <c r="B130" s="74"/>
      <c r="C130" s="74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</row>
    <row r="131" spans="1:51" ht="16.5" customHeight="1">
      <c r="A131" s="37"/>
      <c r="B131" s="74"/>
      <c r="C131" s="74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</row>
    <row r="132" spans="1:51" ht="16.5" customHeight="1">
      <c r="A132" s="37"/>
      <c r="B132" s="74"/>
      <c r="C132" s="74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</row>
    <row r="133" spans="1:51" ht="16.5" customHeight="1">
      <c r="A133" s="37"/>
      <c r="B133" s="74"/>
      <c r="C133" s="74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</row>
    <row r="134" spans="1:51" ht="16.5" customHeight="1">
      <c r="A134" s="37"/>
      <c r="B134" s="74"/>
      <c r="C134" s="74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</row>
    <row r="135" spans="1:51" ht="16.5" customHeight="1">
      <c r="A135" s="37"/>
      <c r="B135" s="74"/>
      <c r="C135" s="74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</row>
    <row r="136" spans="1:51" ht="16.5" customHeight="1">
      <c r="A136" s="37"/>
      <c r="B136" s="74"/>
      <c r="C136" s="74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</row>
    <row r="137" spans="1:51" ht="16.5" customHeight="1">
      <c r="A137" s="37"/>
      <c r="B137" s="74"/>
      <c r="C137" s="74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</row>
    <row r="138" spans="1:51" ht="16.5" customHeight="1">
      <c r="A138" s="37"/>
      <c r="B138" s="74"/>
      <c r="C138" s="74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</row>
    <row r="139" spans="1:51" ht="16.5" customHeight="1">
      <c r="A139" s="37"/>
      <c r="B139" s="74"/>
      <c r="C139" s="74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</row>
    <row r="140" spans="1:51" ht="16.5" customHeight="1">
      <c r="A140" s="37"/>
      <c r="B140" s="74"/>
      <c r="C140" s="74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</row>
    <row r="141" spans="1:51" ht="16.5" customHeight="1">
      <c r="A141" s="37"/>
      <c r="B141" s="74"/>
      <c r="C141" s="74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</row>
    <row r="142" spans="1:51" ht="16.5" customHeight="1">
      <c r="A142" s="37"/>
      <c r="B142" s="74"/>
      <c r="C142" s="74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</row>
    <row r="143" spans="1:51" ht="16.5" customHeight="1">
      <c r="A143" s="37"/>
      <c r="B143" s="74"/>
      <c r="C143" s="74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</row>
    <row r="144" spans="1:51" ht="16.5" customHeight="1">
      <c r="A144" s="37"/>
      <c r="B144" s="74"/>
      <c r="C144" s="74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</row>
    <row r="145" spans="1:51" ht="16.5" customHeight="1">
      <c r="A145" s="37"/>
      <c r="B145" s="74"/>
      <c r="C145" s="74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</row>
    <row r="146" spans="1:51" ht="16.5" customHeight="1">
      <c r="A146" s="37"/>
      <c r="B146" s="74"/>
      <c r="C146" s="74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</row>
    <row r="147" spans="1:51" ht="16.5" customHeight="1">
      <c r="A147" s="37"/>
      <c r="B147" s="74"/>
      <c r="C147" s="74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</row>
    <row r="148" spans="1:51" ht="16.5" customHeight="1">
      <c r="A148" s="37"/>
      <c r="B148" s="74"/>
      <c r="C148" s="74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</row>
    <row r="149" spans="1:51" ht="16.5" customHeight="1">
      <c r="A149" s="37"/>
      <c r="B149" s="74"/>
      <c r="C149" s="74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</row>
    <row r="150" spans="1:51" ht="16.5" customHeight="1">
      <c r="A150" s="37"/>
      <c r="B150" s="74"/>
      <c r="C150" s="74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</row>
    <row r="151" spans="1:51" ht="16.5" customHeight="1">
      <c r="A151" s="37"/>
      <c r="B151" s="74"/>
      <c r="C151" s="74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</row>
    <row r="152" spans="1:51" ht="16.5" customHeight="1">
      <c r="A152" s="37"/>
      <c r="B152" s="74"/>
      <c r="C152" s="74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</row>
    <row r="153" spans="1:51" ht="16.5" customHeight="1">
      <c r="A153" s="37"/>
      <c r="B153" s="74"/>
      <c r="C153" s="74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</row>
    <row r="154" spans="1:51" ht="16.5" customHeight="1">
      <c r="A154" s="37"/>
      <c r="B154" s="74"/>
      <c r="C154" s="74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</row>
    <row r="155" spans="1:51" ht="16.5" customHeight="1">
      <c r="A155" s="37"/>
      <c r="B155" s="74"/>
      <c r="C155" s="74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</row>
    <row r="156" spans="1:51" ht="16.5" customHeight="1">
      <c r="A156" s="37"/>
      <c r="B156" s="74"/>
      <c r="C156" s="74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</row>
    <row r="157" spans="1:51" ht="16.5" customHeight="1">
      <c r="A157" s="37"/>
      <c r="B157" s="74"/>
      <c r="C157" s="74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</row>
    <row r="158" spans="1:51" ht="16.5" customHeight="1">
      <c r="A158" s="37"/>
      <c r="B158" s="74"/>
      <c r="C158" s="74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</row>
    <row r="159" spans="1:51" ht="16.5" customHeight="1">
      <c r="A159" s="37"/>
      <c r="B159" s="74"/>
      <c r="C159" s="74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</row>
    <row r="160" spans="1:51" ht="16.5" customHeight="1">
      <c r="A160" s="37"/>
      <c r="B160" s="74"/>
      <c r="C160" s="74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</row>
    <row r="161" spans="1:51" ht="16.5" customHeight="1">
      <c r="A161" s="37"/>
      <c r="B161" s="74"/>
      <c r="C161" s="74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</row>
    <row r="162" spans="1:51" ht="16.5" customHeight="1">
      <c r="A162" s="37"/>
      <c r="B162" s="74"/>
      <c r="C162" s="74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</row>
    <row r="163" spans="1:51" ht="16.5" customHeight="1">
      <c r="A163" s="37"/>
      <c r="B163" s="74"/>
      <c r="C163" s="74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</row>
    <row r="164" spans="1:51" ht="16.5" customHeight="1">
      <c r="A164" s="37"/>
      <c r="B164" s="74"/>
      <c r="C164" s="74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</row>
    <row r="165" spans="1:51" ht="16.5" customHeight="1">
      <c r="A165" s="37"/>
      <c r="B165" s="74"/>
      <c r="C165" s="74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</row>
    <row r="166" spans="1:51" ht="16.5" customHeight="1">
      <c r="A166" s="37"/>
      <c r="B166" s="74"/>
      <c r="C166" s="74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</row>
    <row r="167" spans="1:51" ht="16.5" customHeight="1">
      <c r="A167" s="37"/>
      <c r="B167" s="74"/>
      <c r="C167" s="74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</row>
    <row r="168" spans="1:51" ht="16.5" customHeight="1">
      <c r="A168" s="37"/>
      <c r="B168" s="74"/>
      <c r="C168" s="74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</row>
    <row r="169" spans="1:51" ht="16.5" customHeight="1">
      <c r="A169" s="37"/>
      <c r="B169" s="74"/>
      <c r="C169" s="74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</row>
    <row r="170" spans="1:51" ht="16.5" customHeight="1">
      <c r="A170" s="37"/>
      <c r="B170" s="74"/>
      <c r="C170" s="74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</row>
    <row r="171" spans="1:51" ht="16.5" customHeight="1">
      <c r="A171" s="37"/>
      <c r="B171" s="74"/>
      <c r="C171" s="74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</row>
    <row r="172" spans="1:51" ht="16.5" customHeight="1">
      <c r="A172" s="37"/>
      <c r="B172" s="74"/>
      <c r="C172" s="74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</row>
    <row r="173" spans="1:51" ht="16.5" customHeight="1">
      <c r="A173" s="37"/>
      <c r="B173" s="74"/>
      <c r="C173" s="74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</row>
    <row r="174" spans="1:51" ht="16.5" customHeight="1">
      <c r="A174" s="37"/>
      <c r="B174" s="74"/>
      <c r="C174" s="74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</row>
    <row r="175" spans="1:51" ht="16.5" customHeight="1">
      <c r="A175" s="37"/>
      <c r="B175" s="74"/>
      <c r="C175" s="74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</row>
    <row r="176" spans="1:51" ht="16.5" customHeight="1">
      <c r="A176" s="37"/>
      <c r="B176" s="74"/>
      <c r="C176" s="74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</row>
    <row r="177" spans="1:51" ht="16.5" customHeight="1">
      <c r="A177" s="37"/>
      <c r="B177" s="74"/>
      <c r="C177" s="74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</row>
    <row r="178" spans="1:51" ht="16.5" customHeight="1">
      <c r="A178" s="37"/>
      <c r="B178" s="74"/>
      <c r="C178" s="74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</row>
    <row r="179" spans="1:51" ht="16.5" customHeight="1">
      <c r="A179" s="37"/>
      <c r="B179" s="74"/>
      <c r="C179" s="74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</row>
    <row r="180" spans="1:51" ht="16.5" customHeight="1">
      <c r="A180" s="37"/>
      <c r="B180" s="74"/>
      <c r="C180" s="74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</row>
    <row r="181" spans="1:51" ht="16.5" customHeight="1">
      <c r="A181" s="37"/>
      <c r="B181" s="74"/>
      <c r="C181" s="74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</row>
    <row r="182" spans="1:51" ht="16.5" customHeight="1">
      <c r="A182" s="37"/>
      <c r="B182" s="74"/>
      <c r="C182" s="74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</row>
    <row r="183" spans="1:51" ht="16.5" customHeight="1">
      <c r="A183" s="37"/>
      <c r="B183" s="74"/>
      <c r="C183" s="74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</row>
    <row r="184" spans="1:51" ht="16.5" customHeight="1">
      <c r="A184" s="37"/>
      <c r="B184" s="74"/>
      <c r="C184" s="74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</row>
    <row r="185" spans="1:51" ht="16.5" customHeight="1">
      <c r="A185" s="37"/>
      <c r="B185" s="74"/>
      <c r="C185" s="74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</row>
    <row r="186" spans="1:51" ht="16.5" customHeight="1">
      <c r="A186" s="37"/>
      <c r="B186" s="74"/>
      <c r="C186" s="74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</row>
    <row r="187" spans="1:51" ht="16.5" customHeight="1">
      <c r="A187" s="37"/>
      <c r="B187" s="74"/>
      <c r="C187" s="74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</row>
    <row r="188" spans="1:51" ht="16.5" customHeight="1">
      <c r="A188" s="37"/>
      <c r="B188" s="74"/>
      <c r="C188" s="74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</row>
    <row r="189" spans="1:51" ht="16.5" customHeight="1">
      <c r="A189" s="37"/>
      <c r="B189" s="74"/>
      <c r="C189" s="74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</row>
    <row r="190" spans="1:51" ht="16.5" customHeight="1">
      <c r="A190" s="37"/>
      <c r="B190" s="74"/>
      <c r="C190" s="74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</row>
    <row r="191" spans="1:51" ht="16.5" customHeight="1">
      <c r="A191" s="37"/>
      <c r="B191" s="74"/>
      <c r="C191" s="74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</row>
    <row r="192" spans="1:51" ht="16.5" customHeight="1">
      <c r="A192" s="37"/>
      <c r="B192" s="74"/>
      <c r="C192" s="74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</row>
    <row r="193" spans="1:51" ht="16.5" customHeight="1">
      <c r="A193" s="37"/>
      <c r="B193" s="74"/>
      <c r="C193" s="74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</row>
    <row r="194" spans="1:51" ht="16.5" customHeight="1">
      <c r="A194" s="37"/>
      <c r="B194" s="74"/>
      <c r="C194" s="74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</row>
    <row r="195" spans="1:51" ht="16.5" customHeight="1">
      <c r="A195" s="37"/>
      <c r="B195" s="74"/>
      <c r="C195" s="74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</row>
    <row r="196" spans="1:51" ht="16.5" customHeight="1">
      <c r="A196" s="37"/>
      <c r="B196" s="74"/>
      <c r="C196" s="74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</row>
    <row r="197" spans="1:51" ht="16.5" customHeight="1">
      <c r="A197" s="37"/>
      <c r="B197" s="74"/>
      <c r="C197" s="74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</row>
    <row r="198" spans="1:51" ht="16.5" customHeight="1">
      <c r="A198" s="37"/>
      <c r="B198" s="74"/>
      <c r="C198" s="74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</row>
    <row r="199" spans="1:51" ht="16.5" customHeight="1">
      <c r="A199" s="37"/>
      <c r="B199" s="74"/>
      <c r="C199" s="74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</row>
    <row r="200" spans="1:51" ht="16.5" customHeight="1">
      <c r="A200" s="37"/>
      <c r="B200" s="74"/>
      <c r="C200" s="74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</row>
    <row r="201" spans="1:51" ht="16.5" customHeight="1">
      <c r="A201" s="37"/>
      <c r="B201" s="74"/>
      <c r="C201" s="74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</row>
    <row r="202" spans="1:51" ht="16.5" customHeight="1">
      <c r="A202" s="37"/>
      <c r="B202" s="74"/>
      <c r="C202" s="74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</row>
    <row r="203" spans="1:51" ht="16.5" customHeight="1">
      <c r="A203" s="37"/>
      <c r="B203" s="74"/>
      <c r="C203" s="74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</row>
    <row r="204" spans="1:51" ht="16.5" customHeight="1">
      <c r="A204" s="37"/>
      <c r="B204" s="74"/>
      <c r="C204" s="74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</row>
    <row r="205" spans="1:51" ht="16.5" customHeight="1">
      <c r="A205" s="37"/>
      <c r="B205" s="74"/>
      <c r="C205" s="74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</row>
    <row r="206" spans="1:51" ht="16.5" customHeight="1">
      <c r="A206" s="37"/>
      <c r="B206" s="74"/>
      <c r="C206" s="74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</row>
    <row r="207" spans="1:51" ht="16.5" customHeight="1">
      <c r="A207" s="37"/>
      <c r="B207" s="74"/>
      <c r="C207" s="74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</row>
    <row r="208" spans="1:51" ht="16.5" customHeight="1">
      <c r="A208" s="37"/>
      <c r="B208" s="74"/>
      <c r="C208" s="74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</row>
    <row r="209" spans="1:51" ht="16.5" customHeight="1">
      <c r="A209" s="37"/>
      <c r="B209" s="74"/>
      <c r="C209" s="74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</row>
    <row r="210" spans="1:51" ht="16.5" customHeight="1">
      <c r="A210" s="37"/>
      <c r="B210" s="74"/>
      <c r="C210" s="74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</row>
    <row r="211" spans="1:51" ht="16.5" customHeight="1">
      <c r="A211" s="37"/>
      <c r="B211" s="74"/>
      <c r="C211" s="74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</row>
    <row r="212" spans="1:51" ht="15.75" customHeight="1">
      <c r="A212" s="42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</row>
    <row r="213" spans="1:51" ht="15.75" customHeight="1">
      <c r="A213" s="42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</row>
    <row r="214" spans="1:51" ht="15.75" customHeight="1">
      <c r="A214" s="42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</row>
    <row r="215" spans="1:51" ht="15.75" customHeight="1">
      <c r="A215" s="42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</row>
    <row r="216" spans="1:51" ht="15.75" customHeight="1">
      <c r="A216" s="42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</row>
    <row r="217" spans="1:51" ht="15.75" customHeight="1">
      <c r="A217" s="42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</row>
    <row r="218" spans="1:51" ht="15.75" customHeight="1"/>
    <row r="219" spans="1:51" ht="15.75" customHeight="1"/>
    <row r="220" spans="1:51" ht="15.75" customHeight="1"/>
    <row r="221" spans="1:51" ht="15.75" customHeight="1"/>
    <row r="222" spans="1:51" ht="15.75" customHeight="1"/>
    <row r="223" spans="1:51" ht="15.75" customHeight="1"/>
    <row r="224" spans="1:5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48">
    <mergeCell ref="R3:S3"/>
    <mergeCell ref="T3:U3"/>
    <mergeCell ref="H3:I3"/>
    <mergeCell ref="J3:K3"/>
    <mergeCell ref="L3:M3"/>
    <mergeCell ref="N3:O3"/>
    <mergeCell ref="P3:Q3"/>
    <mergeCell ref="AD1:AE1"/>
    <mergeCell ref="AF1:AG1"/>
    <mergeCell ref="V3:W3"/>
    <mergeCell ref="X3:Y3"/>
    <mergeCell ref="V2:W2"/>
    <mergeCell ref="X2:Y2"/>
    <mergeCell ref="Z2:AA2"/>
    <mergeCell ref="AB2:AC2"/>
    <mergeCell ref="AD2:AE2"/>
    <mergeCell ref="AF2:AG2"/>
    <mergeCell ref="AF3:AG3"/>
    <mergeCell ref="P1:Q1"/>
    <mergeCell ref="R1:S1"/>
    <mergeCell ref="T1:U1"/>
    <mergeCell ref="Z1:AA1"/>
    <mergeCell ref="AB1:AC1"/>
    <mergeCell ref="H1:I1"/>
    <mergeCell ref="J1:K1"/>
    <mergeCell ref="Z3:AA3"/>
    <mergeCell ref="AB3:AC3"/>
    <mergeCell ref="AD3:AE3"/>
    <mergeCell ref="V1:W1"/>
    <mergeCell ref="X1:Y1"/>
    <mergeCell ref="H2:I2"/>
    <mergeCell ref="J2:K2"/>
    <mergeCell ref="L2:M2"/>
    <mergeCell ref="N2:O2"/>
    <mergeCell ref="P2:Q2"/>
    <mergeCell ref="R2:S2"/>
    <mergeCell ref="T2:U2"/>
    <mergeCell ref="L1:M1"/>
    <mergeCell ref="N1:O1"/>
    <mergeCell ref="A1:A4"/>
    <mergeCell ref="B1:B4"/>
    <mergeCell ref="C1:C4"/>
    <mergeCell ref="D1:E1"/>
    <mergeCell ref="F1:G1"/>
    <mergeCell ref="D3:E3"/>
    <mergeCell ref="F3:G3"/>
    <mergeCell ref="D2:E2"/>
    <mergeCell ref="F2:G2"/>
  </mergeCells>
  <phoneticPr fontId="23" type="noConversion"/>
  <pageMargins left="0.70866141732283505" right="0.70866141732283505" top="0.74803149606299202" bottom="0.74803149606299202" header="0" footer="0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W992"/>
  <sheetViews>
    <sheetView topLeftCell="M1" workbookViewId="0">
      <selection activeCell="X3" sqref="X3:Y3"/>
    </sheetView>
  </sheetViews>
  <sheetFormatPr baseColWidth="10" defaultColWidth="11.1640625" defaultRowHeight="15" customHeight="1"/>
  <cols>
    <col min="1" max="1" width="13.1640625" customWidth="1"/>
    <col min="2" max="2" width="52.1640625" customWidth="1"/>
    <col min="3" max="3" width="9.33203125" customWidth="1"/>
    <col min="4" max="4" width="7.33203125" customWidth="1"/>
    <col min="5" max="5" width="8" bestFit="1" customWidth="1"/>
    <col min="6" max="6" width="6.6640625" customWidth="1"/>
    <col min="7" max="7" width="6.1640625" customWidth="1"/>
    <col min="8" max="8" width="6.83203125" customWidth="1"/>
    <col min="9" max="9" width="8" bestFit="1" customWidth="1"/>
    <col min="10" max="10" width="6.5" customWidth="1"/>
    <col min="11" max="11" width="6.6640625" bestFit="1" customWidth="1"/>
    <col min="12" max="12" width="6.33203125" customWidth="1"/>
    <col min="13" max="13" width="6.5" customWidth="1"/>
    <col min="14" max="14" width="5.83203125" customWidth="1"/>
    <col min="15" max="15" width="6" customWidth="1"/>
    <col min="16" max="16" width="6.5" customWidth="1"/>
    <col min="17" max="17" width="8" bestFit="1" customWidth="1"/>
    <col min="18" max="18" width="6.5" customWidth="1"/>
    <col min="19" max="19" width="5.6640625" customWidth="1"/>
    <col min="20" max="20" width="6" customWidth="1"/>
    <col min="21" max="22" width="5.83203125" customWidth="1"/>
    <col min="23" max="23" width="5.1640625" customWidth="1"/>
    <col min="24" max="24" width="6.1640625" customWidth="1"/>
    <col min="25" max="25" width="6.5" customWidth="1"/>
    <col min="26" max="26" width="6" customWidth="1"/>
    <col min="27" max="28" width="6.1640625" customWidth="1"/>
    <col min="29" max="29" width="8" bestFit="1" customWidth="1"/>
    <col min="30" max="49" width="5.1640625" customWidth="1"/>
  </cols>
  <sheetData>
    <row r="1" spans="1:49" ht="15.75" customHeight="1">
      <c r="A1" s="131" t="s">
        <v>135</v>
      </c>
      <c r="B1" s="133" t="s">
        <v>136</v>
      </c>
      <c r="C1" s="167" t="s">
        <v>137</v>
      </c>
      <c r="D1" s="169" t="s">
        <v>138</v>
      </c>
      <c r="E1" s="129"/>
      <c r="F1" s="128" t="s">
        <v>138</v>
      </c>
      <c r="G1" s="129"/>
      <c r="H1" s="128" t="s">
        <v>138</v>
      </c>
      <c r="I1" s="129"/>
      <c r="J1" s="128" t="s">
        <v>138</v>
      </c>
      <c r="K1" s="129"/>
      <c r="L1" s="128" t="s">
        <v>138</v>
      </c>
      <c r="M1" s="129"/>
      <c r="N1" s="128" t="s">
        <v>138</v>
      </c>
      <c r="O1" s="129"/>
      <c r="P1" s="128" t="s">
        <v>138</v>
      </c>
      <c r="Q1" s="129"/>
      <c r="R1" s="128" t="s">
        <v>138</v>
      </c>
      <c r="S1" s="129"/>
      <c r="T1" s="128" t="s">
        <v>138</v>
      </c>
      <c r="U1" s="129"/>
      <c r="V1" s="128" t="s">
        <v>138</v>
      </c>
      <c r="W1" s="129"/>
      <c r="X1" s="128" t="s">
        <v>138</v>
      </c>
      <c r="Y1" s="129"/>
      <c r="Z1" s="128" t="s">
        <v>138</v>
      </c>
      <c r="AA1" s="129"/>
      <c r="AB1" s="128" t="s">
        <v>138</v>
      </c>
      <c r="AC1" s="129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</row>
    <row r="2" spans="1:49" ht="16.5" customHeight="1">
      <c r="A2" s="132"/>
      <c r="B2" s="132"/>
      <c r="C2" s="127"/>
      <c r="D2" s="192" t="s">
        <v>2</v>
      </c>
      <c r="E2" s="122"/>
      <c r="F2" s="192" t="s">
        <v>2</v>
      </c>
      <c r="G2" s="124"/>
      <c r="H2" s="130" t="s">
        <v>2</v>
      </c>
      <c r="I2" s="124"/>
      <c r="J2" s="130" t="s">
        <v>2</v>
      </c>
      <c r="K2" s="124"/>
      <c r="L2" s="130" t="s">
        <v>2</v>
      </c>
      <c r="M2" s="122"/>
      <c r="N2" s="192" t="s">
        <v>2</v>
      </c>
      <c r="O2" s="124"/>
      <c r="P2" s="123" t="s">
        <v>3</v>
      </c>
      <c r="Q2" s="122"/>
      <c r="R2" s="123" t="s">
        <v>3</v>
      </c>
      <c r="S2" s="122"/>
      <c r="T2" s="123" t="s">
        <v>3</v>
      </c>
      <c r="U2" s="122"/>
      <c r="V2" s="123" t="s">
        <v>3</v>
      </c>
      <c r="W2" s="122"/>
      <c r="X2" s="121" t="s">
        <v>3</v>
      </c>
      <c r="Y2" s="124"/>
      <c r="Z2" s="123" t="s">
        <v>3</v>
      </c>
      <c r="AA2" s="122"/>
      <c r="AB2" s="125" t="s">
        <v>4</v>
      </c>
      <c r="AC2" s="122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</row>
    <row r="3" spans="1:49" ht="15.75" customHeight="1">
      <c r="A3" s="132"/>
      <c r="B3" s="132"/>
      <c r="C3" s="127"/>
      <c r="D3" s="179" t="s">
        <v>106</v>
      </c>
      <c r="E3" s="127"/>
      <c r="F3" s="186" t="s">
        <v>107</v>
      </c>
      <c r="G3" s="132"/>
      <c r="H3" s="126" t="s">
        <v>108</v>
      </c>
      <c r="I3" s="132"/>
      <c r="J3" s="126" t="s">
        <v>109</v>
      </c>
      <c r="K3" s="132"/>
      <c r="L3" s="194" t="s">
        <v>110</v>
      </c>
      <c r="M3" s="127"/>
      <c r="N3" s="186" t="s">
        <v>111</v>
      </c>
      <c r="O3" s="132"/>
      <c r="P3" s="126" t="s">
        <v>112</v>
      </c>
      <c r="Q3" s="127"/>
      <c r="R3" s="126" t="s">
        <v>113</v>
      </c>
      <c r="S3" s="127"/>
      <c r="T3" s="126" t="s">
        <v>114</v>
      </c>
      <c r="U3" s="127"/>
      <c r="V3" s="194" t="s">
        <v>115</v>
      </c>
      <c r="W3" s="127"/>
      <c r="X3" s="134" t="s">
        <v>116</v>
      </c>
      <c r="Y3" s="135"/>
      <c r="Z3" s="126" t="s">
        <v>117</v>
      </c>
      <c r="AA3" s="127"/>
      <c r="AB3" s="126" t="s">
        <v>118</v>
      </c>
      <c r="AC3" s="127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</row>
    <row r="4" spans="1:49" ht="38.25" customHeight="1">
      <c r="A4" s="132"/>
      <c r="B4" s="132"/>
      <c r="C4" s="127"/>
      <c r="D4" s="82" t="s">
        <v>139</v>
      </c>
      <c r="E4" s="83" t="s">
        <v>140</v>
      </c>
      <c r="F4" s="82" t="s">
        <v>139</v>
      </c>
      <c r="G4" s="83" t="s">
        <v>140</v>
      </c>
      <c r="H4" s="82" t="s">
        <v>139</v>
      </c>
      <c r="I4" s="83" t="s">
        <v>140</v>
      </c>
      <c r="J4" s="82" t="s">
        <v>139</v>
      </c>
      <c r="K4" s="83" t="s">
        <v>140</v>
      </c>
      <c r="L4" s="82" t="s">
        <v>139</v>
      </c>
      <c r="M4" s="83" t="s">
        <v>140</v>
      </c>
      <c r="N4" s="82" t="s">
        <v>139</v>
      </c>
      <c r="O4" s="83" t="s">
        <v>140</v>
      </c>
      <c r="P4" s="82" t="s">
        <v>139</v>
      </c>
      <c r="Q4" s="83" t="s">
        <v>140</v>
      </c>
      <c r="R4" s="82" t="s">
        <v>139</v>
      </c>
      <c r="S4" s="83" t="s">
        <v>140</v>
      </c>
      <c r="T4" s="82" t="s">
        <v>139</v>
      </c>
      <c r="U4" s="83" t="s">
        <v>140</v>
      </c>
      <c r="V4" s="86" t="s">
        <v>139</v>
      </c>
      <c r="W4" s="83" t="s">
        <v>140</v>
      </c>
      <c r="X4" s="82" t="s">
        <v>139</v>
      </c>
      <c r="Y4" s="83" t="s">
        <v>140</v>
      </c>
      <c r="Z4" s="82" t="s">
        <v>139</v>
      </c>
      <c r="AA4" s="83" t="s">
        <v>140</v>
      </c>
      <c r="AB4" s="82" t="s">
        <v>139</v>
      </c>
      <c r="AC4" s="83" t="s">
        <v>140</v>
      </c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</row>
    <row r="5" spans="1:49" ht="16.5" customHeight="1">
      <c r="A5" s="96"/>
      <c r="B5" s="98"/>
      <c r="C5" s="97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</row>
    <row r="6" spans="1:49" ht="16.5" customHeight="1">
      <c r="A6" s="96"/>
      <c r="B6" s="98"/>
      <c r="C6" s="97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</row>
    <row r="7" spans="1:49" ht="16.5" customHeight="1">
      <c r="A7" s="96"/>
      <c r="B7" s="98"/>
      <c r="C7" s="97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</row>
    <row r="8" spans="1:49" ht="16.5" customHeight="1">
      <c r="A8" s="96"/>
      <c r="B8" s="98"/>
      <c r="C8" s="97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</row>
    <row r="9" spans="1:49" ht="16.5" customHeight="1">
      <c r="A9" s="96"/>
      <c r="B9" s="98"/>
      <c r="C9" s="97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</row>
    <row r="10" spans="1:49" ht="16.5" customHeight="1">
      <c r="A10" s="96"/>
      <c r="B10" s="98"/>
      <c r="C10" s="97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</row>
    <row r="11" spans="1:49" ht="16.5" customHeight="1">
      <c r="A11" s="96"/>
      <c r="B11" s="98"/>
      <c r="C11" s="97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</row>
    <row r="12" spans="1:49" ht="16.5" customHeight="1">
      <c r="A12" s="96"/>
      <c r="B12" s="98"/>
      <c r="C12" s="97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</row>
    <row r="13" spans="1:49" ht="16.5" customHeight="1">
      <c r="A13" s="96"/>
      <c r="B13" s="98"/>
      <c r="C13" s="97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</row>
    <row r="14" spans="1:49" ht="16.5" customHeight="1">
      <c r="A14" s="96"/>
      <c r="B14" s="98"/>
      <c r="C14" s="97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</row>
    <row r="15" spans="1:49" ht="16.5" customHeight="1">
      <c r="A15" s="96"/>
      <c r="B15" s="98"/>
      <c r="C15" s="97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</row>
    <row r="16" spans="1:49" ht="16.5" customHeight="1">
      <c r="A16" s="96"/>
      <c r="B16" s="98"/>
      <c r="C16" s="97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</row>
    <row r="17" spans="1:49" ht="16.5" customHeight="1">
      <c r="A17" s="94"/>
      <c r="B17" s="74"/>
      <c r="C17" s="74"/>
      <c r="D17" s="105">
        <f>SUM(D5:D16)</f>
        <v>0</v>
      </c>
      <c r="E17" s="105">
        <f t="shared" ref="E17:AC17" si="0">SUM(E5:E16)</f>
        <v>0</v>
      </c>
      <c r="F17" s="105">
        <f t="shared" si="0"/>
        <v>0</v>
      </c>
      <c r="G17" s="105">
        <f t="shared" si="0"/>
        <v>0</v>
      </c>
      <c r="H17" s="105">
        <f t="shared" si="0"/>
        <v>0</v>
      </c>
      <c r="I17" s="105">
        <f t="shared" si="0"/>
        <v>0</v>
      </c>
      <c r="J17" s="105">
        <f t="shared" si="0"/>
        <v>0</v>
      </c>
      <c r="K17" s="105">
        <f t="shared" si="0"/>
        <v>0</v>
      </c>
      <c r="L17" s="105">
        <f t="shared" si="0"/>
        <v>0</v>
      </c>
      <c r="M17" s="105">
        <f t="shared" si="0"/>
        <v>0</v>
      </c>
      <c r="N17" s="105">
        <f t="shared" si="0"/>
        <v>0</v>
      </c>
      <c r="O17" s="105">
        <f t="shared" si="0"/>
        <v>0</v>
      </c>
      <c r="P17" s="105">
        <f t="shared" si="0"/>
        <v>0</v>
      </c>
      <c r="Q17" s="105">
        <f t="shared" si="0"/>
        <v>0</v>
      </c>
      <c r="R17" s="105">
        <f t="shared" si="0"/>
        <v>0</v>
      </c>
      <c r="S17" s="105">
        <f t="shared" si="0"/>
        <v>0</v>
      </c>
      <c r="T17" s="105">
        <f t="shared" si="0"/>
        <v>0</v>
      </c>
      <c r="U17" s="105">
        <f t="shared" si="0"/>
        <v>0</v>
      </c>
      <c r="V17" s="105">
        <f t="shared" si="0"/>
        <v>0</v>
      </c>
      <c r="W17" s="105">
        <f t="shared" si="0"/>
        <v>0</v>
      </c>
      <c r="X17" s="105">
        <f t="shared" si="0"/>
        <v>0</v>
      </c>
      <c r="Y17" s="105">
        <f t="shared" si="0"/>
        <v>0</v>
      </c>
      <c r="Z17" s="105">
        <f t="shared" si="0"/>
        <v>0</v>
      </c>
      <c r="AA17" s="105">
        <f t="shared" si="0"/>
        <v>0</v>
      </c>
      <c r="AB17" s="105">
        <f t="shared" si="0"/>
        <v>0</v>
      </c>
      <c r="AC17" s="105">
        <f t="shared" si="0"/>
        <v>0</v>
      </c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</row>
    <row r="18" spans="1:49" ht="16.5" customHeight="1">
      <c r="A18" s="74"/>
      <c r="B18" s="74"/>
      <c r="C18" s="74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</row>
    <row r="19" spans="1:49" ht="16.5" customHeight="1">
      <c r="A19" s="74"/>
      <c r="B19" s="74"/>
      <c r="C19" s="74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Z19" s="37"/>
      <c r="AA19" s="37"/>
      <c r="AB19" s="37"/>
      <c r="AC19" s="37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</row>
    <row r="20" spans="1:49" ht="16.5" customHeight="1">
      <c r="A20" s="74"/>
      <c r="B20" s="74"/>
      <c r="C20" s="74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</row>
    <row r="21" spans="1:49" ht="16.5" customHeight="1">
      <c r="A21" s="74"/>
      <c r="B21" s="74"/>
      <c r="C21" s="74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</row>
    <row r="22" spans="1:49" ht="16.5" customHeight="1">
      <c r="A22" s="74"/>
      <c r="B22" s="74"/>
      <c r="C22" s="74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</row>
    <row r="23" spans="1:49" ht="16.5" customHeight="1">
      <c r="A23" s="74"/>
      <c r="B23" s="74"/>
      <c r="C23" s="74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</row>
    <row r="24" spans="1:49" ht="16.5" customHeight="1">
      <c r="A24" s="74"/>
      <c r="B24" s="74"/>
      <c r="C24" s="74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</row>
    <row r="25" spans="1:49" ht="16.5" customHeight="1">
      <c r="A25" s="74"/>
      <c r="B25" s="74"/>
      <c r="C25" s="74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</row>
    <row r="26" spans="1:49" ht="16.5" customHeight="1">
      <c r="A26" s="74"/>
      <c r="B26" s="74"/>
      <c r="C26" s="74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</row>
    <row r="27" spans="1:49" ht="16.5" customHeight="1">
      <c r="A27" s="74"/>
      <c r="B27" s="74"/>
      <c r="C27" s="74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</row>
    <row r="28" spans="1:49" ht="16.5" customHeight="1">
      <c r="A28" s="74"/>
      <c r="B28" s="74"/>
      <c r="C28" s="74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</row>
    <row r="29" spans="1:49" ht="16.5" customHeight="1">
      <c r="A29" s="74"/>
      <c r="B29" s="74"/>
      <c r="C29" s="74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</row>
    <row r="30" spans="1:49" ht="16.5" customHeight="1">
      <c r="A30" s="74"/>
      <c r="B30" s="74"/>
      <c r="C30" s="74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</row>
    <row r="31" spans="1:49" ht="16.5" customHeight="1">
      <c r="A31" s="74"/>
      <c r="B31" s="74"/>
      <c r="C31" s="74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</row>
    <row r="32" spans="1:49" ht="16.5" customHeight="1">
      <c r="A32" s="74"/>
      <c r="B32" s="74"/>
      <c r="C32" s="74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</row>
    <row r="33" spans="1:49" ht="16.5" customHeight="1">
      <c r="A33" s="74"/>
      <c r="B33" s="74"/>
      <c r="C33" s="74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</row>
    <row r="34" spans="1:49" ht="16.5" customHeight="1">
      <c r="A34" s="74"/>
      <c r="B34" s="74"/>
      <c r="C34" s="74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</row>
    <row r="35" spans="1:49" ht="16.5" customHeight="1">
      <c r="A35" s="74"/>
      <c r="B35" s="74"/>
      <c r="C35" s="74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</row>
    <row r="36" spans="1:49" ht="16.5" customHeight="1">
      <c r="A36" s="74"/>
      <c r="B36" s="74"/>
      <c r="C36" s="74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</row>
    <row r="37" spans="1:49" ht="16.5" customHeight="1">
      <c r="A37" s="74"/>
      <c r="B37" s="74"/>
      <c r="C37" s="74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</row>
    <row r="38" spans="1:49" ht="16.5" customHeight="1">
      <c r="A38" s="74"/>
      <c r="B38" s="74"/>
      <c r="C38" s="74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</row>
    <row r="39" spans="1:49" ht="16.5" customHeight="1">
      <c r="A39" s="74"/>
      <c r="B39" s="74"/>
      <c r="C39" s="74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</row>
    <row r="40" spans="1:49" ht="16.5" customHeight="1">
      <c r="A40" s="74"/>
      <c r="B40" s="74"/>
      <c r="C40" s="74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</row>
    <row r="41" spans="1:49" ht="16.5" customHeight="1">
      <c r="A41" s="74"/>
      <c r="B41" s="74"/>
      <c r="C41" s="74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</row>
    <row r="42" spans="1:49" ht="16.5" customHeight="1">
      <c r="A42" s="74"/>
      <c r="B42" s="74"/>
      <c r="C42" s="74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</row>
    <row r="43" spans="1:49" ht="16.5" customHeight="1">
      <c r="A43" s="74"/>
      <c r="B43" s="74"/>
      <c r="C43" s="74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</row>
    <row r="44" spans="1:49" ht="16.5" customHeight="1">
      <c r="A44" s="74"/>
      <c r="B44" s="74"/>
      <c r="C44" s="74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</row>
    <row r="45" spans="1:49" ht="16.5" customHeight="1">
      <c r="A45" s="74"/>
      <c r="B45" s="74"/>
      <c r="C45" s="74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</row>
    <row r="46" spans="1:49" ht="16.5" customHeight="1">
      <c r="A46" s="74"/>
      <c r="B46" s="74"/>
      <c r="C46" s="74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</row>
    <row r="47" spans="1:49" ht="16.5" customHeight="1">
      <c r="A47" s="74"/>
      <c r="B47" s="74"/>
      <c r="C47" s="74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</row>
    <row r="48" spans="1:49" ht="16.5" customHeight="1">
      <c r="A48" s="74"/>
      <c r="B48" s="74"/>
      <c r="C48" s="74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</row>
    <row r="49" spans="1:49" ht="16.5" customHeight="1">
      <c r="A49" s="74"/>
      <c r="B49" s="74"/>
      <c r="C49" s="74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</row>
    <row r="50" spans="1:49" ht="16.5" customHeight="1">
      <c r="A50" s="74"/>
      <c r="B50" s="74"/>
      <c r="C50" s="74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</row>
    <row r="51" spans="1:49" ht="16.5" customHeight="1">
      <c r="A51" s="74"/>
      <c r="B51" s="74"/>
      <c r="C51" s="74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</row>
    <row r="52" spans="1:49" ht="16.5" customHeight="1">
      <c r="A52" s="74"/>
      <c r="B52" s="74"/>
      <c r="C52" s="74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</row>
    <row r="53" spans="1:49" ht="16.5" customHeight="1">
      <c r="A53" s="74"/>
      <c r="B53" s="74"/>
      <c r="C53" s="74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</row>
    <row r="54" spans="1:49" ht="16.5" customHeight="1">
      <c r="A54" s="74"/>
      <c r="B54" s="74"/>
      <c r="C54" s="74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</row>
    <row r="55" spans="1:49" ht="16.5" customHeight="1">
      <c r="A55" s="74"/>
      <c r="B55" s="74"/>
      <c r="C55" s="74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</row>
    <row r="56" spans="1:49" ht="16.5" customHeight="1">
      <c r="A56" s="74"/>
      <c r="B56" s="74"/>
      <c r="C56" s="74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</row>
    <row r="57" spans="1:49" ht="16.5" customHeight="1">
      <c r="A57" s="74"/>
      <c r="B57" s="74"/>
      <c r="C57" s="74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</row>
    <row r="58" spans="1:49" ht="16.5" customHeight="1">
      <c r="A58" s="74"/>
      <c r="B58" s="74"/>
      <c r="C58" s="74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</row>
    <row r="59" spans="1:49" ht="16.5" customHeight="1">
      <c r="A59" s="74"/>
      <c r="B59" s="74"/>
      <c r="C59" s="74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</row>
    <row r="60" spans="1:49" ht="16.5" customHeight="1">
      <c r="A60" s="74"/>
      <c r="B60" s="74"/>
      <c r="C60" s="74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</row>
    <row r="61" spans="1:49" ht="16.5" customHeight="1">
      <c r="A61" s="74"/>
      <c r="B61" s="74"/>
      <c r="C61" s="74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</row>
    <row r="62" spans="1:49" ht="16.5" customHeight="1">
      <c r="A62" s="74"/>
      <c r="B62" s="74"/>
      <c r="C62" s="74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</row>
    <row r="63" spans="1:49" ht="16.5" customHeight="1">
      <c r="A63" s="74"/>
      <c r="B63" s="74"/>
      <c r="C63" s="74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</row>
    <row r="64" spans="1:49" ht="16.5" customHeight="1">
      <c r="A64" s="74"/>
      <c r="B64" s="74"/>
      <c r="C64" s="74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</row>
    <row r="65" spans="1:49" ht="16.5" customHeight="1">
      <c r="A65" s="74"/>
      <c r="B65" s="74"/>
      <c r="C65" s="74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</row>
    <row r="66" spans="1:49" ht="16.5" customHeight="1">
      <c r="A66" s="74"/>
      <c r="B66" s="74"/>
      <c r="C66" s="74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</row>
    <row r="67" spans="1:49" ht="16.5" customHeight="1">
      <c r="A67" s="74"/>
      <c r="B67" s="74"/>
      <c r="C67" s="74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</row>
    <row r="68" spans="1:49" ht="16.5" customHeight="1">
      <c r="A68" s="74"/>
      <c r="B68" s="74"/>
      <c r="C68" s="74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</row>
    <row r="69" spans="1:49" ht="16.5" customHeight="1">
      <c r="A69" s="74"/>
      <c r="B69" s="74"/>
      <c r="C69" s="74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</row>
    <row r="70" spans="1:49" ht="16.5" customHeight="1">
      <c r="A70" s="74"/>
      <c r="B70" s="74"/>
      <c r="C70" s="74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</row>
    <row r="71" spans="1:49" ht="16.5" customHeight="1">
      <c r="A71" s="74"/>
      <c r="B71" s="74"/>
      <c r="C71" s="74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</row>
    <row r="72" spans="1:49" ht="16.5" customHeight="1">
      <c r="A72" s="74"/>
      <c r="B72" s="74"/>
      <c r="C72" s="74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</row>
    <row r="73" spans="1:49" ht="16.5" customHeight="1">
      <c r="A73" s="74"/>
      <c r="B73" s="74"/>
      <c r="C73" s="74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</row>
    <row r="74" spans="1:49" ht="16.5" customHeight="1">
      <c r="A74" s="74"/>
      <c r="B74" s="74"/>
      <c r="C74" s="74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</row>
    <row r="75" spans="1:49" ht="16.5" customHeight="1">
      <c r="A75" s="74"/>
      <c r="B75" s="74"/>
      <c r="C75" s="74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</row>
    <row r="76" spans="1:49" ht="16.5" customHeight="1">
      <c r="A76" s="74"/>
      <c r="B76" s="74"/>
      <c r="C76" s="74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</row>
    <row r="77" spans="1:49" ht="16.5" customHeight="1">
      <c r="A77" s="74"/>
      <c r="B77" s="74"/>
      <c r="C77" s="74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</row>
    <row r="78" spans="1:49" ht="16.5" customHeight="1">
      <c r="A78" s="74"/>
      <c r="B78" s="74"/>
      <c r="C78" s="74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</row>
    <row r="79" spans="1:49" ht="16.5" customHeight="1">
      <c r="A79" s="74"/>
      <c r="B79" s="74"/>
      <c r="C79" s="74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</row>
    <row r="80" spans="1:49" ht="16.5" customHeight="1">
      <c r="A80" s="74"/>
      <c r="B80" s="74"/>
      <c r="C80" s="74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</row>
    <row r="81" spans="1:49" ht="16.5" customHeight="1">
      <c r="A81" s="74"/>
      <c r="B81" s="74"/>
      <c r="C81" s="74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</row>
    <row r="82" spans="1:49" ht="16.5" customHeight="1">
      <c r="A82" s="74"/>
      <c r="B82" s="74"/>
      <c r="C82" s="74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</row>
    <row r="83" spans="1:49" ht="16.5" customHeight="1">
      <c r="A83" s="74"/>
      <c r="B83" s="74"/>
      <c r="C83" s="74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</row>
    <row r="84" spans="1:49" ht="16.5" customHeight="1">
      <c r="A84" s="74"/>
      <c r="B84" s="74"/>
      <c r="C84" s="74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</row>
    <row r="85" spans="1:49" ht="16.5" customHeight="1">
      <c r="A85" s="74"/>
      <c r="B85" s="74"/>
      <c r="C85" s="74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</row>
    <row r="86" spans="1:49" ht="16.5" customHeight="1">
      <c r="A86" s="74"/>
      <c r="B86" s="74"/>
      <c r="C86" s="74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</row>
    <row r="87" spans="1:49" ht="16.5" customHeight="1">
      <c r="A87" s="74"/>
      <c r="B87" s="74"/>
      <c r="C87" s="74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</row>
    <row r="88" spans="1:49" ht="16.5" customHeight="1">
      <c r="A88" s="74"/>
      <c r="B88" s="74"/>
      <c r="C88" s="74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</row>
    <row r="89" spans="1:49" ht="16.5" customHeight="1">
      <c r="A89" s="74"/>
      <c r="B89" s="74"/>
      <c r="C89" s="74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</row>
    <row r="90" spans="1:49" ht="16.5" customHeight="1">
      <c r="A90" s="74"/>
      <c r="B90" s="74"/>
      <c r="C90" s="74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</row>
    <row r="91" spans="1:49" ht="16.5" customHeight="1">
      <c r="A91" s="74"/>
      <c r="B91" s="74"/>
      <c r="C91" s="74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</row>
    <row r="92" spans="1:49" ht="16.5" customHeight="1">
      <c r="A92" s="74"/>
      <c r="B92" s="74"/>
      <c r="C92" s="74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</row>
    <row r="93" spans="1:49" ht="16.5" customHeight="1">
      <c r="A93" s="74"/>
      <c r="B93" s="74"/>
      <c r="C93" s="74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</row>
    <row r="94" spans="1:49" ht="16.5" customHeight="1">
      <c r="A94" s="74"/>
      <c r="B94" s="74"/>
      <c r="C94" s="74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</row>
    <row r="95" spans="1:49" ht="16.5" customHeight="1">
      <c r="A95" s="74"/>
      <c r="B95" s="74"/>
      <c r="C95" s="74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</row>
    <row r="96" spans="1:49" ht="16.5" customHeight="1">
      <c r="A96" s="74"/>
      <c r="B96" s="74"/>
      <c r="C96" s="74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</row>
    <row r="97" spans="1:49" ht="16.5" customHeight="1">
      <c r="A97" s="74"/>
      <c r="B97" s="74"/>
      <c r="C97" s="74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</row>
    <row r="98" spans="1:49" ht="16.5" customHeight="1">
      <c r="A98" s="74"/>
      <c r="B98" s="74"/>
      <c r="C98" s="74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</row>
    <row r="99" spans="1:49" ht="16.5" customHeight="1">
      <c r="A99" s="74"/>
      <c r="B99" s="74"/>
      <c r="C99" s="74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</row>
    <row r="100" spans="1:49" ht="16.5" customHeight="1">
      <c r="A100" s="74"/>
      <c r="B100" s="74"/>
      <c r="C100" s="74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</row>
    <row r="101" spans="1:49" ht="16.5" customHeight="1">
      <c r="A101" s="74"/>
      <c r="B101" s="74"/>
      <c r="C101" s="74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</row>
    <row r="102" spans="1:49" ht="16.5" customHeight="1">
      <c r="A102" s="74"/>
      <c r="B102" s="74"/>
      <c r="C102" s="74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</row>
    <row r="103" spans="1:49" ht="16.5" customHeight="1">
      <c r="A103" s="74"/>
      <c r="B103" s="74"/>
      <c r="C103" s="74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</row>
    <row r="104" spans="1:49" ht="16.5" customHeight="1">
      <c r="A104" s="74"/>
      <c r="B104" s="74"/>
      <c r="C104" s="74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</row>
    <row r="105" spans="1:49" ht="16.5" customHeight="1">
      <c r="A105" s="74"/>
      <c r="B105" s="74"/>
      <c r="C105" s="74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</row>
    <row r="106" spans="1:49" ht="16.5" customHeight="1">
      <c r="A106" s="74"/>
      <c r="B106" s="74"/>
      <c r="C106" s="74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</row>
    <row r="107" spans="1:49" ht="16.5" customHeight="1">
      <c r="A107" s="74"/>
      <c r="B107" s="74"/>
      <c r="C107" s="74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</row>
    <row r="108" spans="1:49" ht="16.5" customHeight="1">
      <c r="A108" s="74"/>
      <c r="B108" s="74"/>
      <c r="C108" s="74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</row>
    <row r="109" spans="1:49" ht="16.5" customHeight="1">
      <c r="A109" s="74"/>
      <c r="B109" s="74"/>
      <c r="C109" s="74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</row>
    <row r="110" spans="1:49" ht="16.5" customHeight="1">
      <c r="A110" s="74"/>
      <c r="B110" s="74"/>
      <c r="C110" s="74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</row>
    <row r="111" spans="1:49" ht="16.5" customHeight="1">
      <c r="A111" s="74"/>
      <c r="B111" s="74"/>
      <c r="C111" s="74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</row>
    <row r="112" spans="1:49" ht="16.5" customHeight="1">
      <c r="A112" s="74"/>
      <c r="B112" s="74"/>
      <c r="C112" s="74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</row>
    <row r="113" spans="1:49" ht="16.5" customHeight="1">
      <c r="A113" s="74"/>
      <c r="B113" s="74"/>
      <c r="C113" s="74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</row>
    <row r="114" spans="1:49" ht="16.5" customHeight="1">
      <c r="A114" s="74"/>
      <c r="B114" s="74"/>
      <c r="C114" s="74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</row>
    <row r="115" spans="1:49" ht="16.5" customHeight="1">
      <c r="A115" s="74"/>
      <c r="B115" s="74"/>
      <c r="C115" s="74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</row>
    <row r="116" spans="1:49" ht="16.5" customHeight="1">
      <c r="A116" s="74"/>
      <c r="B116" s="74"/>
      <c r="C116" s="74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</row>
    <row r="117" spans="1:49" ht="16.5" customHeight="1">
      <c r="A117" s="74"/>
      <c r="B117" s="74"/>
      <c r="C117" s="74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</row>
    <row r="118" spans="1:49" ht="16.5" customHeight="1">
      <c r="A118" s="74"/>
      <c r="B118" s="74"/>
      <c r="C118" s="74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</row>
    <row r="119" spans="1:49" ht="16.5" customHeight="1">
      <c r="A119" s="74"/>
      <c r="B119" s="74"/>
      <c r="C119" s="74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</row>
    <row r="120" spans="1:49" ht="16.5" customHeight="1">
      <c r="A120" s="74"/>
      <c r="B120" s="74"/>
      <c r="C120" s="74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</row>
    <row r="121" spans="1:49" ht="16.5" customHeight="1">
      <c r="A121" s="74"/>
      <c r="B121" s="74"/>
      <c r="C121" s="74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</row>
    <row r="122" spans="1:49" ht="16.5" customHeight="1">
      <c r="A122" s="74"/>
      <c r="B122" s="74"/>
      <c r="C122" s="74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</row>
    <row r="123" spans="1:49" ht="16.5" customHeight="1">
      <c r="A123" s="74"/>
      <c r="B123" s="74"/>
      <c r="C123" s="74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</row>
    <row r="124" spans="1:49" ht="16.5" customHeight="1">
      <c r="A124" s="74"/>
      <c r="B124" s="74"/>
      <c r="C124" s="74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</row>
    <row r="125" spans="1:49" ht="16.5" customHeight="1">
      <c r="A125" s="74"/>
      <c r="B125" s="74"/>
      <c r="C125" s="74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</row>
    <row r="126" spans="1:49" ht="16.5" customHeight="1">
      <c r="A126" s="74"/>
      <c r="B126" s="74"/>
      <c r="C126" s="74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</row>
    <row r="127" spans="1:49" ht="16.5" customHeight="1">
      <c r="A127" s="74"/>
      <c r="B127" s="74"/>
      <c r="C127" s="74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</row>
    <row r="128" spans="1:49" ht="16.5" customHeight="1">
      <c r="A128" s="74"/>
      <c r="B128" s="74"/>
      <c r="C128" s="74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</row>
    <row r="129" spans="1:49" ht="16.5" customHeight="1">
      <c r="A129" s="74"/>
      <c r="B129" s="74"/>
      <c r="C129" s="74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</row>
    <row r="130" spans="1:49" ht="16.5" customHeight="1">
      <c r="A130" s="74"/>
      <c r="B130" s="74"/>
      <c r="C130" s="74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</row>
    <row r="131" spans="1:49" ht="16.5" customHeight="1">
      <c r="A131" s="74"/>
      <c r="B131" s="74"/>
      <c r="C131" s="74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</row>
    <row r="132" spans="1:49" ht="16.5" customHeight="1">
      <c r="A132" s="74"/>
      <c r="B132" s="74"/>
      <c r="C132" s="74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</row>
    <row r="133" spans="1:49" ht="16.5" customHeight="1">
      <c r="A133" s="74"/>
      <c r="B133" s="74"/>
      <c r="C133" s="74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</row>
    <row r="134" spans="1:49" ht="16.5" customHeight="1">
      <c r="A134" s="74"/>
      <c r="B134" s="74"/>
      <c r="C134" s="74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</row>
    <row r="135" spans="1:49" ht="16.5" customHeight="1">
      <c r="A135" s="74"/>
      <c r="B135" s="74"/>
      <c r="C135" s="74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</row>
    <row r="136" spans="1:49" ht="16.5" customHeight="1">
      <c r="A136" s="74"/>
      <c r="B136" s="74"/>
      <c r="C136" s="74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</row>
    <row r="137" spans="1:49" ht="16.5" customHeight="1">
      <c r="A137" s="74"/>
      <c r="B137" s="74"/>
      <c r="C137" s="74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</row>
    <row r="138" spans="1:49" ht="16.5" customHeight="1">
      <c r="A138" s="74"/>
      <c r="B138" s="74"/>
      <c r="C138" s="74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</row>
    <row r="139" spans="1:49" ht="16.5" customHeight="1">
      <c r="A139" s="74"/>
      <c r="B139" s="74"/>
      <c r="C139" s="74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</row>
    <row r="140" spans="1:49" ht="16.5" customHeight="1">
      <c r="A140" s="74"/>
      <c r="B140" s="74"/>
      <c r="C140" s="74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</row>
    <row r="141" spans="1:49" ht="16.5" customHeight="1">
      <c r="A141" s="74"/>
      <c r="B141" s="74"/>
      <c r="C141" s="74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</row>
    <row r="142" spans="1:49" ht="16.5" customHeight="1">
      <c r="A142" s="74"/>
      <c r="B142" s="74"/>
      <c r="C142" s="74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</row>
    <row r="143" spans="1:49" ht="16.5" customHeight="1">
      <c r="A143" s="74"/>
      <c r="B143" s="74"/>
      <c r="C143" s="74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</row>
    <row r="144" spans="1:49" ht="16.5" customHeight="1">
      <c r="A144" s="74"/>
      <c r="B144" s="74"/>
      <c r="C144" s="74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</row>
    <row r="145" spans="1:49" ht="16.5" customHeight="1">
      <c r="A145" s="74"/>
      <c r="B145" s="74"/>
      <c r="C145" s="74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</row>
    <row r="146" spans="1:49" ht="16.5" customHeight="1">
      <c r="A146" s="74"/>
      <c r="B146" s="74"/>
      <c r="C146" s="74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</row>
    <row r="147" spans="1:49" ht="16.5" customHeight="1">
      <c r="A147" s="74"/>
      <c r="B147" s="74"/>
      <c r="C147" s="74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</row>
    <row r="148" spans="1:49" ht="16.5" customHeight="1">
      <c r="A148" s="74"/>
      <c r="B148" s="74"/>
      <c r="C148" s="74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</row>
    <row r="149" spans="1:49" ht="16.5" customHeight="1">
      <c r="A149" s="74"/>
      <c r="B149" s="74"/>
      <c r="C149" s="74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</row>
    <row r="150" spans="1:49" ht="16.5" customHeight="1">
      <c r="A150" s="74"/>
      <c r="B150" s="74"/>
      <c r="C150" s="74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</row>
    <row r="151" spans="1:49" ht="16.5" customHeight="1">
      <c r="A151" s="74"/>
      <c r="B151" s="74"/>
      <c r="C151" s="74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</row>
    <row r="152" spans="1:49" ht="16.5" customHeight="1">
      <c r="A152" s="74"/>
      <c r="B152" s="74"/>
      <c r="C152" s="74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</row>
    <row r="153" spans="1:49" ht="16.5" customHeight="1">
      <c r="A153" s="74"/>
      <c r="B153" s="74"/>
      <c r="C153" s="74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</row>
    <row r="154" spans="1:49" ht="16.5" customHeight="1">
      <c r="A154" s="74"/>
      <c r="B154" s="74"/>
      <c r="C154" s="74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</row>
    <row r="155" spans="1:49" ht="16.5" customHeight="1">
      <c r="A155" s="74"/>
      <c r="B155" s="74"/>
      <c r="C155" s="74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</row>
    <row r="156" spans="1:49" ht="16.5" customHeight="1">
      <c r="A156" s="74"/>
      <c r="B156" s="74"/>
      <c r="C156" s="74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</row>
    <row r="157" spans="1:49" ht="16.5" customHeight="1">
      <c r="A157" s="74"/>
      <c r="B157" s="74"/>
      <c r="C157" s="74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</row>
    <row r="158" spans="1:49" ht="16.5" customHeight="1">
      <c r="A158" s="74"/>
      <c r="B158" s="74"/>
      <c r="C158" s="74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</row>
    <row r="159" spans="1:49" ht="16.5" customHeight="1">
      <c r="A159" s="74"/>
      <c r="B159" s="74"/>
      <c r="C159" s="74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</row>
    <row r="160" spans="1:49" ht="16.5" customHeight="1">
      <c r="A160" s="74"/>
      <c r="B160" s="74"/>
      <c r="C160" s="74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</row>
    <row r="161" spans="1:49" ht="16.5" customHeight="1">
      <c r="A161" s="74"/>
      <c r="B161" s="74"/>
      <c r="C161" s="74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</row>
    <row r="162" spans="1:49" ht="16.5" customHeight="1">
      <c r="A162" s="74"/>
      <c r="B162" s="74"/>
      <c r="C162" s="74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</row>
    <row r="163" spans="1:49" ht="16.5" customHeight="1">
      <c r="A163" s="74"/>
      <c r="B163" s="74"/>
      <c r="C163" s="74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</row>
    <row r="164" spans="1:49" ht="16.5" customHeight="1">
      <c r="A164" s="74"/>
      <c r="B164" s="74"/>
      <c r="C164" s="74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</row>
    <row r="165" spans="1:49" ht="16.5" customHeight="1">
      <c r="A165" s="74"/>
      <c r="B165" s="74"/>
      <c r="C165" s="74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</row>
    <row r="166" spans="1:49" ht="16.5" customHeight="1">
      <c r="A166" s="74"/>
      <c r="B166" s="74"/>
      <c r="C166" s="74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</row>
    <row r="167" spans="1:49" ht="16.5" customHeight="1">
      <c r="A167" s="74"/>
      <c r="B167" s="74"/>
      <c r="C167" s="74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</row>
    <row r="168" spans="1:49" ht="16.5" customHeight="1">
      <c r="A168" s="74"/>
      <c r="B168" s="74"/>
      <c r="C168" s="74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</row>
    <row r="169" spans="1:49" ht="16.5" customHeight="1">
      <c r="A169" s="74"/>
      <c r="B169" s="74"/>
      <c r="C169" s="74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</row>
    <row r="170" spans="1:49" ht="16.5" customHeight="1">
      <c r="A170" s="74"/>
      <c r="B170" s="74"/>
      <c r="C170" s="74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</row>
    <row r="171" spans="1:49" ht="16.5" customHeight="1">
      <c r="A171" s="74"/>
      <c r="B171" s="74"/>
      <c r="C171" s="74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</row>
    <row r="172" spans="1:49" ht="16.5" customHeight="1">
      <c r="A172" s="74"/>
      <c r="B172" s="74"/>
      <c r="C172" s="74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</row>
    <row r="173" spans="1:49" ht="16.5" customHeight="1">
      <c r="A173" s="74"/>
      <c r="B173" s="74"/>
      <c r="C173" s="74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</row>
    <row r="174" spans="1:49" ht="16.5" customHeight="1">
      <c r="A174" s="74"/>
      <c r="B174" s="74"/>
      <c r="C174" s="74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</row>
    <row r="175" spans="1:49" ht="16.5" customHeight="1">
      <c r="A175" s="74"/>
      <c r="B175" s="74"/>
      <c r="C175" s="74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</row>
    <row r="176" spans="1:49" ht="16.5" customHeight="1">
      <c r="A176" s="74"/>
      <c r="B176" s="74"/>
      <c r="C176" s="74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</row>
    <row r="177" spans="1:49" ht="16.5" customHeight="1">
      <c r="A177" s="74"/>
      <c r="B177" s="74"/>
      <c r="C177" s="74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</row>
    <row r="178" spans="1:49" ht="16.5" customHeight="1">
      <c r="A178" s="74"/>
      <c r="B178" s="74"/>
      <c r="C178" s="74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</row>
    <row r="179" spans="1:49" ht="16.5" customHeight="1">
      <c r="A179" s="74"/>
      <c r="B179" s="74"/>
      <c r="C179" s="74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</row>
    <row r="180" spans="1:49" ht="16.5" customHeight="1">
      <c r="A180" s="74"/>
      <c r="B180" s="74"/>
      <c r="C180" s="74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</row>
    <row r="181" spans="1:49" ht="16.5" customHeight="1">
      <c r="A181" s="74"/>
      <c r="B181" s="74"/>
      <c r="C181" s="74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</row>
    <row r="182" spans="1:49" ht="16.5" customHeight="1">
      <c r="A182" s="74"/>
      <c r="B182" s="74"/>
      <c r="C182" s="74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</row>
    <row r="183" spans="1:49" ht="16.5" customHeight="1">
      <c r="A183" s="74"/>
      <c r="B183" s="74"/>
      <c r="C183" s="74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</row>
    <row r="184" spans="1:49" ht="16.5" customHeight="1">
      <c r="A184" s="74"/>
      <c r="B184" s="74"/>
      <c r="C184" s="74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</row>
    <row r="185" spans="1:49" ht="16.5" customHeight="1">
      <c r="A185" s="74"/>
      <c r="B185" s="74"/>
      <c r="C185" s="74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</row>
    <row r="186" spans="1:49" ht="16.5" customHeight="1">
      <c r="A186" s="74"/>
      <c r="B186" s="74"/>
      <c r="C186" s="74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</row>
    <row r="187" spans="1:49" ht="16.5" customHeight="1">
      <c r="A187" s="74"/>
      <c r="B187" s="74"/>
      <c r="C187" s="74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</row>
    <row r="188" spans="1:49" ht="16.5" customHeight="1">
      <c r="A188" s="74"/>
      <c r="B188" s="74"/>
      <c r="C188" s="74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</row>
    <row r="189" spans="1:49" ht="16.5" customHeight="1">
      <c r="A189" s="74"/>
      <c r="B189" s="74"/>
      <c r="C189" s="74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</row>
    <row r="190" spans="1:49" ht="16.5" customHeight="1">
      <c r="A190" s="74"/>
      <c r="B190" s="74"/>
      <c r="C190" s="74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</row>
    <row r="191" spans="1:49" ht="16.5" customHeight="1">
      <c r="A191" s="74"/>
      <c r="B191" s="74"/>
      <c r="C191" s="74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</row>
    <row r="192" spans="1:49" ht="16.5" customHeight="1">
      <c r="A192" s="74"/>
      <c r="B192" s="74"/>
      <c r="C192" s="74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</row>
    <row r="193" spans="1:49" ht="16.5" customHeight="1">
      <c r="A193" s="74"/>
      <c r="B193" s="74"/>
      <c r="C193" s="74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</row>
    <row r="194" spans="1:49" ht="16.5" customHeight="1">
      <c r="A194" s="74"/>
      <c r="B194" s="74"/>
      <c r="C194" s="74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</row>
    <row r="195" spans="1:49" ht="16.5" customHeight="1">
      <c r="A195" s="74"/>
      <c r="B195" s="74"/>
      <c r="C195" s="74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</row>
    <row r="196" spans="1:49" ht="16.5" customHeight="1">
      <c r="A196" s="74"/>
      <c r="B196" s="74"/>
      <c r="C196" s="74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</row>
    <row r="197" spans="1:49" ht="16.5" customHeight="1">
      <c r="A197" s="74"/>
      <c r="B197" s="74"/>
      <c r="C197" s="74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</row>
    <row r="198" spans="1:49" ht="16.5" customHeight="1">
      <c r="A198" s="74"/>
      <c r="B198" s="74"/>
      <c r="C198" s="74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</row>
    <row r="199" spans="1:49" ht="16.5" customHeight="1">
      <c r="A199" s="74"/>
      <c r="B199" s="74"/>
      <c r="C199" s="74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</row>
    <row r="200" spans="1:49" ht="16.5" customHeight="1">
      <c r="A200" s="74"/>
      <c r="B200" s="74"/>
      <c r="C200" s="74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</row>
    <row r="201" spans="1:49" ht="16.5" customHeight="1">
      <c r="A201" s="74"/>
      <c r="B201" s="74"/>
      <c r="C201" s="74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</row>
    <row r="202" spans="1:49" ht="16.5" customHeight="1">
      <c r="A202" s="74"/>
      <c r="B202" s="74"/>
      <c r="C202" s="74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</row>
    <row r="203" spans="1:49" ht="16.5" customHeight="1">
      <c r="A203" s="74"/>
      <c r="B203" s="74"/>
      <c r="C203" s="74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</row>
    <row r="204" spans="1:49" ht="16.5" customHeight="1">
      <c r="A204" s="74"/>
      <c r="B204" s="74"/>
      <c r="C204" s="74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</row>
    <row r="205" spans="1:49" ht="16.5" customHeight="1">
      <c r="A205" s="74"/>
      <c r="B205" s="74"/>
      <c r="C205" s="74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</row>
    <row r="206" spans="1:49" ht="16.5" customHeight="1">
      <c r="A206" s="74"/>
      <c r="B206" s="74"/>
      <c r="C206" s="74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</row>
    <row r="207" spans="1:49" ht="16.5" customHeight="1">
      <c r="A207" s="74"/>
      <c r="B207" s="74"/>
      <c r="C207" s="74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</row>
    <row r="208" spans="1:49" ht="16.5" customHeight="1">
      <c r="A208" s="74"/>
      <c r="B208" s="74"/>
      <c r="C208" s="74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</row>
    <row r="209" spans="1:49" ht="16.5" customHeight="1">
      <c r="A209" s="74"/>
      <c r="B209" s="74"/>
      <c r="C209" s="74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</row>
    <row r="210" spans="1:49" ht="16.5" customHeight="1">
      <c r="A210" s="74"/>
      <c r="B210" s="74"/>
      <c r="C210" s="74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</row>
    <row r="211" spans="1:49" ht="16.5" customHeight="1">
      <c r="A211" s="74"/>
      <c r="B211" s="74"/>
      <c r="C211" s="74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</row>
    <row r="212" spans="1:49" ht="16.5" customHeight="1">
      <c r="A212" s="74"/>
      <c r="B212" s="74"/>
      <c r="C212" s="74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</row>
    <row r="213" spans="1:49" ht="15.75" customHeight="1"/>
    <row r="214" spans="1:49" ht="15.75" customHeight="1"/>
    <row r="215" spans="1:49" ht="15.75" customHeight="1"/>
    <row r="216" spans="1:49" ht="15.75" customHeight="1"/>
    <row r="217" spans="1:49" ht="15.75" customHeight="1"/>
    <row r="218" spans="1:49" ht="15.75" customHeight="1"/>
    <row r="219" spans="1:49" ht="15.75" customHeight="1"/>
    <row r="220" spans="1:49" ht="15.75" customHeight="1"/>
    <row r="221" spans="1:49" ht="15.75" customHeight="1"/>
    <row r="222" spans="1:49" ht="15.75" customHeight="1"/>
    <row r="223" spans="1:49" ht="15.75" customHeight="1"/>
    <row r="224" spans="1:49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42">
    <mergeCell ref="L3:M3"/>
    <mergeCell ref="N3:O3"/>
    <mergeCell ref="P3:Q3"/>
    <mergeCell ref="R3:S3"/>
    <mergeCell ref="T3:U3"/>
    <mergeCell ref="Z1:AA1"/>
    <mergeCell ref="AB1:AC1"/>
    <mergeCell ref="L1:M1"/>
    <mergeCell ref="N1:O1"/>
    <mergeCell ref="P1:Q1"/>
    <mergeCell ref="R1:S1"/>
    <mergeCell ref="T1:U1"/>
    <mergeCell ref="V1:W1"/>
    <mergeCell ref="X1:Y1"/>
    <mergeCell ref="AB2:AC2"/>
    <mergeCell ref="Z3:AA3"/>
    <mergeCell ref="AB3:AC3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V3:W3"/>
    <mergeCell ref="X3:Y3"/>
    <mergeCell ref="H3:I3"/>
    <mergeCell ref="H1:I1"/>
    <mergeCell ref="J1:K1"/>
    <mergeCell ref="A1:A4"/>
    <mergeCell ref="B1:B4"/>
    <mergeCell ref="C1:C4"/>
    <mergeCell ref="D1:E1"/>
    <mergeCell ref="F1:G1"/>
    <mergeCell ref="D3:E3"/>
    <mergeCell ref="F3:G3"/>
    <mergeCell ref="D2:E2"/>
    <mergeCell ref="F2:G2"/>
    <mergeCell ref="J3:K3"/>
  </mergeCells>
  <phoneticPr fontId="23" type="noConversion"/>
  <pageMargins left="0.70866141732283505" right="0.70866141732283505" top="0.74803149606299202" bottom="0.74803149606299202" header="0" footer="0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A996"/>
  <sheetViews>
    <sheetView workbookViewId="0">
      <selection activeCell="R3" sqref="R3:S3"/>
    </sheetView>
  </sheetViews>
  <sheetFormatPr baseColWidth="10" defaultColWidth="11.1640625" defaultRowHeight="15" customHeight="1"/>
  <cols>
    <col min="1" max="1" width="13" customWidth="1"/>
    <col min="2" max="2" width="44.6640625" customWidth="1"/>
    <col min="3" max="3" width="10.5" customWidth="1"/>
    <col min="4" max="5" width="7.6640625" customWidth="1"/>
    <col min="6" max="6" width="6.6640625" customWidth="1"/>
    <col min="7" max="7" width="6.5" customWidth="1"/>
    <col min="8" max="8" width="7.33203125" customWidth="1"/>
    <col min="9" max="9" width="7.6640625" customWidth="1"/>
    <col min="10" max="10" width="7.5" customWidth="1"/>
    <col min="11" max="12" width="7.1640625" customWidth="1"/>
    <col min="13" max="13" width="7.6640625" customWidth="1"/>
    <col min="14" max="14" width="7" customWidth="1"/>
    <col min="15" max="15" width="7.1640625" customWidth="1"/>
    <col min="16" max="16" width="6.6640625" customWidth="1"/>
    <col min="17" max="17" width="7.33203125" customWidth="1"/>
    <col min="18" max="18" width="7.83203125" customWidth="1"/>
    <col min="19" max="19" width="7.6640625" customWidth="1"/>
    <col min="20" max="20" width="7" customWidth="1"/>
    <col min="21" max="21" width="7.5" customWidth="1"/>
    <col min="22" max="22" width="7.1640625" customWidth="1"/>
    <col min="23" max="23" width="7.33203125" customWidth="1"/>
    <col min="24" max="26" width="7.5" customWidth="1"/>
    <col min="27" max="27" width="6.83203125" customWidth="1"/>
    <col min="28" max="28" width="7.5" customWidth="1"/>
    <col min="29" max="31" width="7.1640625" customWidth="1"/>
    <col min="32" max="32" width="6.6640625" customWidth="1"/>
    <col min="33" max="33" width="8" bestFit="1" customWidth="1"/>
    <col min="34" max="53" width="5.1640625" customWidth="1"/>
  </cols>
  <sheetData>
    <row r="1" spans="1:53" ht="15.75" customHeight="1">
      <c r="A1" s="131" t="s">
        <v>135</v>
      </c>
      <c r="B1" s="133" t="s">
        <v>136</v>
      </c>
      <c r="C1" s="131" t="s">
        <v>137</v>
      </c>
      <c r="D1" s="128" t="s">
        <v>138</v>
      </c>
      <c r="E1" s="129"/>
      <c r="F1" s="128" t="s">
        <v>138</v>
      </c>
      <c r="G1" s="129"/>
      <c r="H1" s="128" t="s">
        <v>138</v>
      </c>
      <c r="I1" s="129"/>
      <c r="J1" s="128" t="s">
        <v>138</v>
      </c>
      <c r="K1" s="129"/>
      <c r="L1" s="128" t="s">
        <v>138</v>
      </c>
      <c r="M1" s="129"/>
      <c r="N1" s="128" t="s">
        <v>138</v>
      </c>
      <c r="O1" s="129"/>
      <c r="P1" s="128" t="s">
        <v>138</v>
      </c>
      <c r="Q1" s="129"/>
      <c r="R1" s="128" t="s">
        <v>138</v>
      </c>
      <c r="S1" s="129"/>
      <c r="T1" s="128" t="s">
        <v>138</v>
      </c>
      <c r="U1" s="129"/>
      <c r="V1" s="128" t="s">
        <v>138</v>
      </c>
      <c r="W1" s="129"/>
      <c r="X1" s="128" t="s">
        <v>138</v>
      </c>
      <c r="Y1" s="129"/>
      <c r="Z1" s="128" t="s">
        <v>138</v>
      </c>
      <c r="AA1" s="129"/>
      <c r="AB1" s="128" t="s">
        <v>138</v>
      </c>
      <c r="AC1" s="129"/>
      <c r="AD1" s="128" t="s">
        <v>138</v>
      </c>
      <c r="AE1" s="129"/>
      <c r="AF1" s="128" t="s">
        <v>138</v>
      </c>
      <c r="AG1" s="129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</row>
    <row r="2" spans="1:53" ht="16.5" customHeight="1">
      <c r="A2" s="132"/>
      <c r="B2" s="132"/>
      <c r="C2" s="132"/>
      <c r="D2" s="130" t="s">
        <v>2</v>
      </c>
      <c r="E2" s="122"/>
      <c r="F2" s="130" t="s">
        <v>2</v>
      </c>
      <c r="G2" s="122"/>
      <c r="H2" s="130" t="s">
        <v>2</v>
      </c>
      <c r="I2" s="122"/>
      <c r="J2" s="130" t="s">
        <v>2</v>
      </c>
      <c r="K2" s="122"/>
      <c r="L2" s="130" t="s">
        <v>2</v>
      </c>
      <c r="M2" s="122"/>
      <c r="N2" s="130" t="s">
        <v>2</v>
      </c>
      <c r="O2" s="122"/>
      <c r="P2" s="130" t="s">
        <v>2</v>
      </c>
      <c r="Q2" s="122"/>
      <c r="R2" s="121" t="s">
        <v>3</v>
      </c>
      <c r="S2" s="122"/>
      <c r="T2" s="121" t="s">
        <v>3</v>
      </c>
      <c r="U2" s="122"/>
      <c r="V2" s="121" t="s">
        <v>3</v>
      </c>
      <c r="W2" s="122"/>
      <c r="X2" s="121" t="s">
        <v>3</v>
      </c>
      <c r="Y2" s="122"/>
      <c r="Z2" s="121" t="s">
        <v>3</v>
      </c>
      <c r="AA2" s="122"/>
      <c r="AB2" s="123" t="s">
        <v>3</v>
      </c>
      <c r="AC2" s="122"/>
      <c r="AD2" s="123" t="s">
        <v>3</v>
      </c>
      <c r="AE2" s="124"/>
      <c r="AF2" s="125" t="s">
        <v>4</v>
      </c>
      <c r="AG2" s="122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</row>
    <row r="3" spans="1:53" ht="15.75" customHeight="1">
      <c r="A3" s="132"/>
      <c r="B3" s="132"/>
      <c r="C3" s="132"/>
      <c r="D3" s="134" t="s">
        <v>120</v>
      </c>
      <c r="E3" s="127"/>
      <c r="F3" s="126" t="s">
        <v>121</v>
      </c>
      <c r="G3" s="127"/>
      <c r="H3" s="126" t="s">
        <v>122</v>
      </c>
      <c r="I3" s="127"/>
      <c r="J3" s="126" t="s">
        <v>123</v>
      </c>
      <c r="K3" s="127"/>
      <c r="L3" s="126" t="s">
        <v>124</v>
      </c>
      <c r="M3" s="127"/>
      <c r="N3" s="126" t="s">
        <v>125</v>
      </c>
      <c r="O3" s="127"/>
      <c r="P3" s="126" t="s">
        <v>126</v>
      </c>
      <c r="Q3" s="127"/>
      <c r="R3" s="126" t="s">
        <v>127</v>
      </c>
      <c r="S3" s="127"/>
      <c r="T3" s="126" t="s">
        <v>128</v>
      </c>
      <c r="U3" s="127"/>
      <c r="V3" s="134" t="s">
        <v>129</v>
      </c>
      <c r="W3" s="135"/>
      <c r="X3" s="126" t="s">
        <v>143</v>
      </c>
      <c r="Y3" s="127"/>
      <c r="Z3" s="126" t="s">
        <v>131</v>
      </c>
      <c r="AA3" s="127"/>
      <c r="AB3" s="126" t="s">
        <v>132</v>
      </c>
      <c r="AC3" s="127"/>
      <c r="AD3" s="126" t="s">
        <v>133</v>
      </c>
      <c r="AE3" s="127"/>
      <c r="AF3" s="126" t="s">
        <v>134</v>
      </c>
      <c r="AG3" s="127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</row>
    <row r="4" spans="1:53" ht="35.25" customHeight="1">
      <c r="A4" s="132"/>
      <c r="B4" s="132"/>
      <c r="C4" s="132"/>
      <c r="D4" s="86" t="s">
        <v>139</v>
      </c>
      <c r="E4" s="83" t="s">
        <v>140</v>
      </c>
      <c r="F4" s="86" t="s">
        <v>139</v>
      </c>
      <c r="G4" s="83" t="s">
        <v>140</v>
      </c>
      <c r="H4" s="86" t="s">
        <v>139</v>
      </c>
      <c r="I4" s="83" t="s">
        <v>140</v>
      </c>
      <c r="J4" s="82" t="s">
        <v>139</v>
      </c>
      <c r="K4" s="83" t="s">
        <v>140</v>
      </c>
      <c r="L4" s="86" t="s">
        <v>139</v>
      </c>
      <c r="M4" s="83" t="s">
        <v>140</v>
      </c>
      <c r="N4" s="86" t="s">
        <v>139</v>
      </c>
      <c r="O4" s="83" t="s">
        <v>140</v>
      </c>
      <c r="P4" s="86" t="s">
        <v>139</v>
      </c>
      <c r="Q4" s="83" t="s">
        <v>140</v>
      </c>
      <c r="R4" s="86" t="s">
        <v>139</v>
      </c>
      <c r="S4" s="83" t="s">
        <v>140</v>
      </c>
      <c r="T4" s="86" t="s">
        <v>139</v>
      </c>
      <c r="U4" s="83" t="s">
        <v>140</v>
      </c>
      <c r="V4" s="86" t="s">
        <v>139</v>
      </c>
      <c r="W4" s="83" t="s">
        <v>140</v>
      </c>
      <c r="X4" s="86" t="s">
        <v>139</v>
      </c>
      <c r="Y4" s="83" t="s">
        <v>140</v>
      </c>
      <c r="Z4" s="86" t="s">
        <v>139</v>
      </c>
      <c r="AA4" s="83" t="s">
        <v>140</v>
      </c>
      <c r="AB4" s="86" t="s">
        <v>139</v>
      </c>
      <c r="AC4" s="83" t="s">
        <v>140</v>
      </c>
      <c r="AD4" s="82" t="s">
        <v>139</v>
      </c>
      <c r="AE4" s="83" t="s">
        <v>140</v>
      </c>
      <c r="AF4" s="86" t="s">
        <v>139</v>
      </c>
      <c r="AG4" s="83" t="s">
        <v>140</v>
      </c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</row>
    <row r="5" spans="1:53" ht="15.75" customHeight="1">
      <c r="A5" s="101"/>
      <c r="B5" s="94"/>
      <c r="C5" s="94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</row>
    <row r="6" spans="1:53" ht="16.5" customHeight="1">
      <c r="A6" s="101"/>
      <c r="B6" s="94"/>
      <c r="C6" s="94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</row>
    <row r="7" spans="1:53" ht="16.5" customHeight="1">
      <c r="A7" s="101"/>
      <c r="B7" s="94"/>
      <c r="C7" s="94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</row>
    <row r="8" spans="1:53" ht="16.5" customHeight="1">
      <c r="A8" s="101"/>
      <c r="B8" s="94"/>
      <c r="C8" s="94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</row>
    <row r="9" spans="1:53" ht="16.5" customHeight="1">
      <c r="A9" s="101"/>
      <c r="B9" s="94"/>
      <c r="C9" s="94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</row>
    <row r="10" spans="1:53" ht="16.5" customHeight="1">
      <c r="A10" s="101"/>
      <c r="B10" s="94"/>
      <c r="C10" s="94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</row>
    <row r="11" spans="1:53" ht="16.5" customHeight="1">
      <c r="A11" s="101"/>
      <c r="B11" s="94"/>
      <c r="C11" s="94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</row>
    <row r="12" spans="1:53" ht="16.5" customHeight="1">
      <c r="A12" s="101"/>
      <c r="B12" s="94"/>
      <c r="C12" s="94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</row>
    <row r="13" spans="1:53" ht="16.5" customHeight="1">
      <c r="A13" s="101"/>
      <c r="B13" s="94"/>
      <c r="C13" s="94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</row>
    <row r="14" spans="1:53" ht="16.5" customHeight="1">
      <c r="A14" s="101"/>
      <c r="B14" s="94"/>
      <c r="C14" s="94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</row>
    <row r="15" spans="1:53" ht="16.5" customHeight="1">
      <c r="A15" s="74"/>
      <c r="B15" s="74"/>
      <c r="C15" s="74"/>
      <c r="D15" s="103">
        <f>SUM(D5:D14)</f>
        <v>0</v>
      </c>
      <c r="E15" s="103">
        <f t="shared" ref="E15:AG15" si="0">SUM(E5:E14)</f>
        <v>0</v>
      </c>
      <c r="F15" s="103">
        <f t="shared" si="0"/>
        <v>0</v>
      </c>
      <c r="G15" s="103">
        <f t="shared" si="0"/>
        <v>0</v>
      </c>
      <c r="H15" s="103">
        <f t="shared" si="0"/>
        <v>0</v>
      </c>
      <c r="I15" s="103">
        <f t="shared" si="0"/>
        <v>0</v>
      </c>
      <c r="J15" s="103">
        <f t="shared" si="0"/>
        <v>0</v>
      </c>
      <c r="K15" s="103">
        <f t="shared" si="0"/>
        <v>0</v>
      </c>
      <c r="L15" s="103">
        <f t="shared" si="0"/>
        <v>0</v>
      </c>
      <c r="M15" s="103">
        <f t="shared" si="0"/>
        <v>0</v>
      </c>
      <c r="N15" s="103">
        <f t="shared" si="0"/>
        <v>0</v>
      </c>
      <c r="O15" s="103">
        <f t="shared" si="0"/>
        <v>0</v>
      </c>
      <c r="P15" s="103">
        <f t="shared" si="0"/>
        <v>0</v>
      </c>
      <c r="Q15" s="103">
        <f t="shared" si="0"/>
        <v>0</v>
      </c>
      <c r="R15" s="103">
        <f t="shared" si="0"/>
        <v>0</v>
      </c>
      <c r="S15" s="103">
        <f t="shared" si="0"/>
        <v>0</v>
      </c>
      <c r="T15" s="103">
        <f t="shared" si="0"/>
        <v>0</v>
      </c>
      <c r="U15" s="103">
        <f t="shared" si="0"/>
        <v>0</v>
      </c>
      <c r="V15" s="103">
        <f t="shared" si="0"/>
        <v>0</v>
      </c>
      <c r="W15" s="103">
        <f t="shared" si="0"/>
        <v>0</v>
      </c>
      <c r="X15" s="103">
        <f t="shared" si="0"/>
        <v>0</v>
      </c>
      <c r="Y15" s="103">
        <f t="shared" si="0"/>
        <v>0</v>
      </c>
      <c r="Z15" s="103">
        <f t="shared" si="0"/>
        <v>0</v>
      </c>
      <c r="AA15" s="103">
        <f t="shared" si="0"/>
        <v>0</v>
      </c>
      <c r="AB15" s="103">
        <f t="shared" si="0"/>
        <v>0</v>
      </c>
      <c r="AC15" s="103">
        <f t="shared" si="0"/>
        <v>0</v>
      </c>
      <c r="AD15" s="103">
        <f t="shared" si="0"/>
        <v>0</v>
      </c>
      <c r="AE15" s="103">
        <f t="shared" si="0"/>
        <v>0</v>
      </c>
      <c r="AF15" s="103">
        <f t="shared" si="0"/>
        <v>0</v>
      </c>
      <c r="AG15" s="103">
        <f t="shared" si="0"/>
        <v>0</v>
      </c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</row>
    <row r="16" spans="1:53" ht="16.5" customHeight="1">
      <c r="A16" s="74"/>
      <c r="B16" s="74"/>
      <c r="C16" s="74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</row>
    <row r="17" spans="1:53" ht="16.5" customHeight="1">
      <c r="A17" s="74"/>
      <c r="B17" s="74"/>
      <c r="C17" s="74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</row>
    <row r="18" spans="1:53" ht="16.5" customHeight="1">
      <c r="A18" s="74"/>
      <c r="B18" s="74"/>
      <c r="C18" s="74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</row>
    <row r="19" spans="1:53" ht="16.5" customHeight="1">
      <c r="A19" s="74"/>
      <c r="B19" s="74"/>
      <c r="C19" s="74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</row>
    <row r="20" spans="1:53" ht="16.5" customHeight="1">
      <c r="A20" s="74"/>
      <c r="B20" s="74"/>
      <c r="C20" s="74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</row>
    <row r="21" spans="1:53" ht="16.5" customHeight="1">
      <c r="A21" s="74"/>
      <c r="B21" s="74"/>
      <c r="C21" s="74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</row>
    <row r="22" spans="1:53" ht="16.5" customHeight="1">
      <c r="A22" s="74"/>
      <c r="B22" s="74"/>
      <c r="C22" s="74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</row>
    <row r="23" spans="1:53" ht="16.5" customHeight="1">
      <c r="A23" s="74"/>
      <c r="B23" s="74"/>
      <c r="C23" s="74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</row>
    <row r="24" spans="1:53" ht="16.5" customHeight="1">
      <c r="A24" s="74"/>
      <c r="B24" s="74"/>
      <c r="C24" s="74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</row>
    <row r="25" spans="1:53" ht="16.5" customHeight="1">
      <c r="A25" s="74"/>
      <c r="B25" s="74"/>
      <c r="C25" s="74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</row>
    <row r="26" spans="1:53" ht="16.5" customHeight="1">
      <c r="A26" s="74"/>
      <c r="B26" s="74"/>
      <c r="C26" s="74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</row>
    <row r="27" spans="1:53" ht="16.5" customHeight="1">
      <c r="A27" s="74"/>
      <c r="B27" s="74"/>
      <c r="C27" s="74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</row>
    <row r="28" spans="1:53" ht="16.5" customHeight="1">
      <c r="A28" s="74"/>
      <c r="B28" s="74"/>
      <c r="C28" s="74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</row>
    <row r="29" spans="1:53" ht="16.5" customHeight="1">
      <c r="A29" s="74"/>
      <c r="B29" s="74"/>
      <c r="C29" s="74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</row>
    <row r="30" spans="1:53" ht="16.5" customHeight="1">
      <c r="A30" s="74"/>
      <c r="B30" s="74"/>
      <c r="C30" s="74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</row>
    <row r="31" spans="1:53" ht="16.5" customHeight="1">
      <c r="A31" s="74"/>
      <c r="B31" s="74"/>
      <c r="C31" s="74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</row>
    <row r="32" spans="1:53" ht="16.5" customHeight="1">
      <c r="A32" s="74"/>
      <c r="B32" s="74"/>
      <c r="C32" s="74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</row>
    <row r="33" spans="1:53" ht="16.5" customHeight="1">
      <c r="A33" s="74"/>
      <c r="B33" s="74"/>
      <c r="C33" s="74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</row>
    <row r="34" spans="1:53" ht="16.5" customHeight="1">
      <c r="A34" s="74"/>
      <c r="B34" s="74"/>
      <c r="C34" s="74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</row>
    <row r="35" spans="1:53" ht="16.5" customHeight="1">
      <c r="A35" s="74"/>
      <c r="B35" s="74"/>
      <c r="C35" s="74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</row>
    <row r="36" spans="1:53" ht="16.5" customHeight="1">
      <c r="A36" s="74"/>
      <c r="B36" s="74"/>
      <c r="C36" s="74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</row>
    <row r="37" spans="1:53" ht="16.5" customHeight="1">
      <c r="A37" s="74"/>
      <c r="B37" s="74"/>
      <c r="C37" s="74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</row>
    <row r="38" spans="1:53" ht="16.5" customHeight="1">
      <c r="A38" s="74"/>
      <c r="B38" s="74"/>
      <c r="C38" s="74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</row>
    <row r="39" spans="1:53" ht="16.5" customHeight="1">
      <c r="A39" s="74"/>
      <c r="B39" s="74"/>
      <c r="C39" s="74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</row>
    <row r="40" spans="1:53" ht="16.5" customHeight="1">
      <c r="A40" s="74"/>
      <c r="B40" s="74"/>
      <c r="C40" s="74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</row>
    <row r="41" spans="1:53" ht="16.5" customHeight="1">
      <c r="A41" s="74"/>
      <c r="B41" s="74"/>
      <c r="C41" s="74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</row>
    <row r="42" spans="1:53" ht="16.5" customHeight="1">
      <c r="A42" s="74"/>
      <c r="B42" s="74"/>
      <c r="C42" s="74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</row>
    <row r="43" spans="1:53" ht="16.5" customHeight="1">
      <c r="A43" s="74"/>
      <c r="B43" s="74"/>
      <c r="C43" s="74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</row>
    <row r="44" spans="1:53" ht="16.5" customHeight="1">
      <c r="A44" s="74"/>
      <c r="B44" s="74"/>
      <c r="C44" s="74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</row>
    <row r="45" spans="1:53" ht="16.5" customHeight="1">
      <c r="A45" s="74"/>
      <c r="B45" s="74"/>
      <c r="C45" s="74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</row>
    <row r="46" spans="1:53" ht="16.5" customHeight="1">
      <c r="A46" s="74"/>
      <c r="B46" s="74"/>
      <c r="C46" s="74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</row>
    <row r="47" spans="1:53" ht="16.5" customHeight="1">
      <c r="A47" s="74"/>
      <c r="B47" s="74"/>
      <c r="C47" s="74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</row>
    <row r="48" spans="1:53" ht="16.5" customHeight="1">
      <c r="A48" s="74"/>
      <c r="B48" s="74"/>
      <c r="C48" s="74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</row>
    <row r="49" spans="1:53" ht="16.5" customHeight="1">
      <c r="A49" s="74"/>
      <c r="B49" s="74"/>
      <c r="C49" s="74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</row>
    <row r="50" spans="1:53" ht="16.5" customHeight="1">
      <c r="A50" s="74"/>
      <c r="B50" s="74"/>
      <c r="C50" s="74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</row>
    <row r="51" spans="1:53" ht="16.5" customHeight="1">
      <c r="A51" s="74"/>
      <c r="B51" s="74"/>
      <c r="C51" s="74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</row>
    <row r="52" spans="1:53" ht="16.5" customHeight="1">
      <c r="A52" s="74"/>
      <c r="B52" s="74"/>
      <c r="C52" s="74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</row>
    <row r="53" spans="1:53" ht="16.5" customHeight="1">
      <c r="A53" s="74"/>
      <c r="B53" s="74"/>
      <c r="C53" s="74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</row>
    <row r="54" spans="1:53" ht="16.5" customHeight="1">
      <c r="A54" s="74"/>
      <c r="B54" s="74"/>
      <c r="C54" s="74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</row>
    <row r="55" spans="1:53" ht="16.5" customHeight="1">
      <c r="A55" s="74"/>
      <c r="B55" s="74"/>
      <c r="C55" s="74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</row>
    <row r="56" spans="1:53" ht="16.5" customHeight="1">
      <c r="A56" s="74"/>
      <c r="B56" s="74"/>
      <c r="C56" s="74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</row>
    <row r="57" spans="1:53" ht="16.5" customHeight="1">
      <c r="A57" s="74"/>
      <c r="B57" s="74"/>
      <c r="C57" s="74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</row>
    <row r="58" spans="1:53" ht="16.5" customHeight="1">
      <c r="A58" s="74"/>
      <c r="B58" s="74"/>
      <c r="C58" s="74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</row>
    <row r="59" spans="1:53" ht="16.5" customHeight="1">
      <c r="A59" s="74"/>
      <c r="B59" s="74"/>
      <c r="C59" s="74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</row>
    <row r="60" spans="1:53" ht="16.5" customHeight="1">
      <c r="A60" s="74"/>
      <c r="B60" s="74"/>
      <c r="C60" s="74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</row>
    <row r="61" spans="1:53" ht="16.5" customHeight="1">
      <c r="A61" s="74"/>
      <c r="B61" s="74"/>
      <c r="C61" s="74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</row>
    <row r="62" spans="1:53" ht="16.5" customHeight="1">
      <c r="A62" s="74"/>
      <c r="B62" s="74"/>
      <c r="C62" s="74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</row>
    <row r="63" spans="1:53" ht="16.5" customHeight="1">
      <c r="A63" s="74"/>
      <c r="B63" s="74"/>
      <c r="C63" s="74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</row>
    <row r="64" spans="1:53" ht="16.5" customHeight="1">
      <c r="A64" s="74"/>
      <c r="B64" s="74"/>
      <c r="C64" s="74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</row>
    <row r="65" spans="1:53" ht="16.5" customHeight="1">
      <c r="A65" s="74"/>
      <c r="B65" s="74"/>
      <c r="C65" s="74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</row>
    <row r="66" spans="1:53" ht="16.5" customHeight="1">
      <c r="A66" s="74"/>
      <c r="B66" s="74"/>
      <c r="C66" s="74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</row>
    <row r="67" spans="1:53" ht="16.5" customHeight="1">
      <c r="A67" s="74"/>
      <c r="B67" s="74"/>
      <c r="C67" s="74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</row>
    <row r="68" spans="1:53" ht="16.5" customHeight="1">
      <c r="A68" s="74"/>
      <c r="B68" s="74"/>
      <c r="C68" s="74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</row>
    <row r="69" spans="1:53" ht="16.5" customHeight="1">
      <c r="A69" s="74"/>
      <c r="B69" s="74"/>
      <c r="C69" s="74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</row>
    <row r="70" spans="1:53" ht="16.5" customHeight="1">
      <c r="A70" s="74"/>
      <c r="B70" s="74"/>
      <c r="C70" s="74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</row>
    <row r="71" spans="1:53" ht="16.5" customHeight="1">
      <c r="A71" s="74"/>
      <c r="B71" s="74"/>
      <c r="C71" s="74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</row>
    <row r="72" spans="1:53" ht="16.5" customHeight="1">
      <c r="A72" s="74"/>
      <c r="B72" s="74"/>
      <c r="C72" s="74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</row>
    <row r="73" spans="1:53" ht="16.5" customHeight="1">
      <c r="A73" s="74"/>
      <c r="B73" s="74"/>
      <c r="C73" s="74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</row>
    <row r="74" spans="1:53" ht="16.5" customHeight="1">
      <c r="A74" s="74"/>
      <c r="B74" s="74"/>
      <c r="C74" s="74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</row>
    <row r="75" spans="1:53" ht="16.5" customHeight="1">
      <c r="A75" s="74"/>
      <c r="B75" s="74"/>
      <c r="C75" s="74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</row>
    <row r="76" spans="1:53" ht="16.5" customHeight="1">
      <c r="A76" s="74"/>
      <c r="B76" s="74"/>
      <c r="C76" s="74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</row>
    <row r="77" spans="1:53" ht="16.5" customHeight="1">
      <c r="A77" s="74"/>
      <c r="B77" s="74"/>
      <c r="C77" s="74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</row>
    <row r="78" spans="1:53" ht="16.5" customHeight="1">
      <c r="A78" s="74"/>
      <c r="B78" s="74"/>
      <c r="C78" s="74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</row>
    <row r="79" spans="1:53" ht="16.5" customHeight="1">
      <c r="A79" s="74"/>
      <c r="B79" s="74"/>
      <c r="C79" s="74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</row>
    <row r="80" spans="1:53" ht="16.5" customHeight="1">
      <c r="A80" s="74"/>
      <c r="B80" s="74"/>
      <c r="C80" s="74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</row>
    <row r="81" spans="1:53" ht="16.5" customHeight="1">
      <c r="A81" s="74"/>
      <c r="B81" s="74"/>
      <c r="C81" s="74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</row>
    <row r="82" spans="1:53" ht="16.5" customHeight="1">
      <c r="A82" s="74"/>
      <c r="B82" s="74"/>
      <c r="C82" s="74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</row>
    <row r="83" spans="1:53" ht="16.5" customHeight="1">
      <c r="A83" s="74"/>
      <c r="B83" s="74"/>
      <c r="C83" s="74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</row>
    <row r="84" spans="1:53" ht="16.5" customHeight="1">
      <c r="A84" s="74"/>
      <c r="B84" s="74"/>
      <c r="C84" s="74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</row>
    <row r="85" spans="1:53" ht="16.5" customHeight="1">
      <c r="A85" s="74"/>
      <c r="B85" s="74"/>
      <c r="C85" s="74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</row>
    <row r="86" spans="1:53" ht="16.5" customHeight="1">
      <c r="A86" s="74"/>
      <c r="B86" s="74"/>
      <c r="C86" s="74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</row>
    <row r="87" spans="1:53" ht="16.5" customHeight="1">
      <c r="A87" s="74"/>
      <c r="B87" s="74"/>
      <c r="C87" s="74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</row>
    <row r="88" spans="1:53" ht="16.5" customHeight="1">
      <c r="A88" s="74"/>
      <c r="B88" s="74"/>
      <c r="C88" s="74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</row>
    <row r="89" spans="1:53" ht="16.5" customHeight="1">
      <c r="A89" s="74"/>
      <c r="B89" s="74"/>
      <c r="C89" s="74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</row>
    <row r="90" spans="1:53" ht="16.5" customHeight="1">
      <c r="A90" s="74"/>
      <c r="B90" s="74"/>
      <c r="C90" s="74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</row>
    <row r="91" spans="1:53" ht="16.5" customHeight="1">
      <c r="A91" s="74"/>
      <c r="B91" s="74"/>
      <c r="C91" s="74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</row>
    <row r="92" spans="1:53" ht="16.5" customHeight="1">
      <c r="A92" s="74"/>
      <c r="B92" s="74"/>
      <c r="C92" s="74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</row>
    <row r="93" spans="1:53" ht="16.5" customHeight="1">
      <c r="A93" s="74"/>
      <c r="B93" s="74"/>
      <c r="C93" s="74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</row>
    <row r="94" spans="1:53" ht="16.5" customHeight="1">
      <c r="A94" s="74"/>
      <c r="B94" s="74"/>
      <c r="C94" s="74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</row>
    <row r="95" spans="1:53" ht="16.5" customHeight="1">
      <c r="A95" s="74"/>
      <c r="B95" s="74"/>
      <c r="C95" s="74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</row>
    <row r="96" spans="1:53" ht="16.5" customHeight="1">
      <c r="A96" s="74"/>
      <c r="B96" s="74"/>
      <c r="C96" s="74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</row>
    <row r="97" spans="1:53" ht="16.5" customHeight="1">
      <c r="A97" s="74"/>
      <c r="B97" s="74"/>
      <c r="C97" s="74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</row>
    <row r="98" spans="1:53" ht="16.5" customHeight="1">
      <c r="A98" s="74"/>
      <c r="B98" s="74"/>
      <c r="C98" s="74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</row>
    <row r="99" spans="1:53" ht="16.5" customHeight="1">
      <c r="A99" s="74"/>
      <c r="B99" s="74"/>
      <c r="C99" s="74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</row>
    <row r="100" spans="1:53" ht="16.5" customHeight="1">
      <c r="A100" s="74"/>
      <c r="B100" s="74"/>
      <c r="C100" s="74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</row>
    <row r="101" spans="1:53" ht="16.5" customHeight="1">
      <c r="A101" s="74"/>
      <c r="B101" s="74"/>
      <c r="C101" s="74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</row>
    <row r="102" spans="1:53" ht="16.5" customHeight="1">
      <c r="A102" s="74"/>
      <c r="B102" s="74"/>
      <c r="C102" s="74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4"/>
    </row>
    <row r="103" spans="1:53" ht="16.5" customHeight="1">
      <c r="A103" s="74"/>
      <c r="B103" s="74"/>
      <c r="C103" s="74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</row>
    <row r="104" spans="1:53" ht="16.5" customHeight="1">
      <c r="A104" s="74"/>
      <c r="B104" s="74"/>
      <c r="C104" s="74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</row>
    <row r="105" spans="1:53" ht="16.5" customHeight="1">
      <c r="A105" s="74"/>
      <c r="B105" s="74"/>
      <c r="C105" s="74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</row>
    <row r="106" spans="1:53" ht="16.5" customHeight="1">
      <c r="A106" s="74"/>
      <c r="B106" s="74"/>
      <c r="C106" s="74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84"/>
    </row>
    <row r="107" spans="1:53" ht="16.5" customHeight="1">
      <c r="A107" s="74"/>
      <c r="B107" s="74"/>
      <c r="C107" s="74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</row>
    <row r="108" spans="1:53" ht="16.5" customHeight="1">
      <c r="A108" s="74"/>
      <c r="B108" s="74"/>
      <c r="C108" s="74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</row>
    <row r="109" spans="1:53" ht="16.5" customHeight="1">
      <c r="A109" s="74"/>
      <c r="B109" s="74"/>
      <c r="C109" s="74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</row>
    <row r="110" spans="1:53" ht="16.5" customHeight="1">
      <c r="A110" s="74"/>
      <c r="B110" s="74"/>
      <c r="C110" s="74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  <c r="AZ110" s="84"/>
      <c r="BA110" s="84"/>
    </row>
    <row r="111" spans="1:53" ht="16.5" customHeight="1">
      <c r="A111" s="74"/>
      <c r="B111" s="74"/>
      <c r="C111" s="74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/>
    </row>
    <row r="112" spans="1:53" ht="16.5" customHeight="1">
      <c r="A112" s="74"/>
      <c r="B112" s="74"/>
      <c r="C112" s="74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/>
      <c r="BA112" s="84"/>
    </row>
    <row r="113" spans="1:53" ht="16.5" customHeight="1">
      <c r="A113" s="74"/>
      <c r="B113" s="74"/>
      <c r="C113" s="74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</row>
    <row r="114" spans="1:53" ht="16.5" customHeight="1">
      <c r="A114" s="74"/>
      <c r="B114" s="74"/>
      <c r="C114" s="74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84"/>
    </row>
    <row r="115" spans="1:53" ht="16.5" customHeight="1">
      <c r="A115" s="74"/>
      <c r="B115" s="74"/>
      <c r="C115" s="74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84"/>
    </row>
    <row r="116" spans="1:53" ht="16.5" customHeight="1">
      <c r="A116" s="74"/>
      <c r="B116" s="74"/>
      <c r="C116" s="74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  <c r="AZ116" s="84"/>
      <c r="BA116" s="84"/>
    </row>
    <row r="117" spans="1:53" ht="16.5" customHeight="1">
      <c r="A117" s="74"/>
      <c r="B117" s="74"/>
      <c r="C117" s="74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  <c r="AZ117" s="84"/>
      <c r="BA117" s="84"/>
    </row>
    <row r="118" spans="1:53" ht="16.5" customHeight="1">
      <c r="A118" s="74"/>
      <c r="B118" s="74"/>
      <c r="C118" s="74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</row>
    <row r="119" spans="1:53" ht="16.5" customHeight="1">
      <c r="A119" s="74"/>
      <c r="B119" s="74"/>
      <c r="C119" s="74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  <c r="AZ119" s="84"/>
      <c r="BA119" s="84"/>
    </row>
    <row r="120" spans="1:53" ht="16.5" customHeight="1">
      <c r="A120" s="74"/>
      <c r="B120" s="74"/>
      <c r="C120" s="74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84"/>
    </row>
    <row r="121" spans="1:53" ht="16.5" customHeight="1">
      <c r="A121" s="74"/>
      <c r="B121" s="74"/>
      <c r="C121" s="74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  <c r="AZ121" s="84"/>
      <c r="BA121" s="84"/>
    </row>
    <row r="122" spans="1:53" ht="16.5" customHeight="1">
      <c r="A122" s="74"/>
      <c r="B122" s="74"/>
      <c r="C122" s="74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  <c r="AZ122" s="84"/>
      <c r="BA122" s="84"/>
    </row>
    <row r="123" spans="1:53" ht="16.5" customHeight="1">
      <c r="A123" s="74"/>
      <c r="B123" s="74"/>
      <c r="C123" s="74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  <c r="AZ123" s="84"/>
      <c r="BA123" s="84"/>
    </row>
    <row r="124" spans="1:53" ht="16.5" customHeight="1">
      <c r="A124" s="74"/>
      <c r="B124" s="74"/>
      <c r="C124" s="74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  <c r="AZ124" s="84"/>
      <c r="BA124" s="84"/>
    </row>
    <row r="125" spans="1:53" ht="16.5" customHeight="1">
      <c r="A125" s="74"/>
      <c r="B125" s="74"/>
      <c r="C125" s="74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  <c r="AZ125" s="84"/>
      <c r="BA125" s="84"/>
    </row>
    <row r="126" spans="1:53" ht="16.5" customHeight="1">
      <c r="A126" s="74"/>
      <c r="B126" s="74"/>
      <c r="C126" s="74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  <c r="AZ126" s="84"/>
      <c r="BA126" s="84"/>
    </row>
    <row r="127" spans="1:53" ht="16.5" customHeight="1">
      <c r="A127" s="74"/>
      <c r="B127" s="74"/>
      <c r="C127" s="74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  <c r="AZ127" s="84"/>
      <c r="BA127" s="84"/>
    </row>
    <row r="128" spans="1:53" ht="16.5" customHeight="1">
      <c r="A128" s="74"/>
      <c r="B128" s="74"/>
      <c r="C128" s="74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  <c r="AZ128" s="84"/>
      <c r="BA128" s="84"/>
    </row>
    <row r="129" spans="1:53" ht="16.5" customHeight="1">
      <c r="A129" s="74"/>
      <c r="B129" s="74"/>
      <c r="C129" s="74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BA129" s="84"/>
    </row>
    <row r="130" spans="1:53" ht="16.5" customHeight="1">
      <c r="A130" s="74"/>
      <c r="B130" s="74"/>
      <c r="C130" s="74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84"/>
    </row>
    <row r="131" spans="1:53" ht="16.5" customHeight="1">
      <c r="A131" s="74"/>
      <c r="B131" s="74"/>
      <c r="C131" s="74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84"/>
    </row>
    <row r="132" spans="1:53" ht="16.5" customHeight="1">
      <c r="A132" s="74"/>
      <c r="B132" s="74"/>
      <c r="C132" s="74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</row>
    <row r="133" spans="1:53" ht="16.5" customHeight="1">
      <c r="A133" s="74"/>
      <c r="B133" s="74"/>
      <c r="C133" s="74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</row>
    <row r="134" spans="1:53" ht="16.5" customHeight="1">
      <c r="A134" s="74"/>
      <c r="B134" s="74"/>
      <c r="C134" s="74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</row>
    <row r="135" spans="1:53" ht="16.5" customHeight="1">
      <c r="A135" s="74"/>
      <c r="B135" s="74"/>
      <c r="C135" s="74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</row>
    <row r="136" spans="1:53" ht="16.5" customHeight="1">
      <c r="A136" s="74"/>
      <c r="B136" s="74"/>
      <c r="C136" s="74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  <c r="AZ136" s="84"/>
      <c r="BA136" s="84"/>
    </row>
    <row r="137" spans="1:53" ht="16.5" customHeight="1">
      <c r="A137" s="74"/>
      <c r="B137" s="74"/>
      <c r="C137" s="74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</row>
    <row r="138" spans="1:53" ht="16.5" customHeight="1">
      <c r="A138" s="74"/>
      <c r="B138" s="74"/>
      <c r="C138" s="74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  <c r="AZ138" s="84"/>
      <c r="BA138" s="84"/>
    </row>
    <row r="139" spans="1:53" ht="16.5" customHeight="1">
      <c r="A139" s="74"/>
      <c r="B139" s="74"/>
      <c r="C139" s="74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</row>
    <row r="140" spans="1:53" ht="16.5" customHeight="1">
      <c r="A140" s="74"/>
      <c r="B140" s="74"/>
      <c r="C140" s="74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</row>
    <row r="141" spans="1:53" ht="16.5" customHeight="1">
      <c r="A141" s="74"/>
      <c r="B141" s="74"/>
      <c r="C141" s="74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  <c r="AZ141" s="84"/>
      <c r="BA141" s="84"/>
    </row>
    <row r="142" spans="1:53" ht="16.5" customHeight="1">
      <c r="A142" s="74"/>
      <c r="B142" s="74"/>
      <c r="C142" s="74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</row>
    <row r="143" spans="1:53" ht="16.5" customHeight="1">
      <c r="A143" s="74"/>
      <c r="B143" s="74"/>
      <c r="C143" s="74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/>
    </row>
    <row r="144" spans="1:53" ht="16.5" customHeight="1">
      <c r="A144" s="74"/>
      <c r="B144" s="74"/>
      <c r="C144" s="74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</row>
    <row r="145" spans="1:53" ht="16.5" customHeight="1">
      <c r="A145" s="74"/>
      <c r="B145" s="74"/>
      <c r="C145" s="74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  <c r="AZ145" s="84"/>
      <c r="BA145" s="84"/>
    </row>
    <row r="146" spans="1:53" ht="16.5" customHeight="1">
      <c r="A146" s="74"/>
      <c r="B146" s="74"/>
      <c r="C146" s="74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</row>
    <row r="147" spans="1:53" ht="16.5" customHeight="1">
      <c r="A147" s="74"/>
      <c r="B147" s="74"/>
      <c r="C147" s="74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  <c r="AZ147" s="84"/>
      <c r="BA147" s="84"/>
    </row>
    <row r="148" spans="1:53" ht="16.5" customHeight="1">
      <c r="A148" s="74"/>
      <c r="B148" s="74"/>
      <c r="C148" s="74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  <c r="AZ148" s="84"/>
      <c r="BA148" s="84"/>
    </row>
    <row r="149" spans="1:53" ht="16.5" customHeight="1">
      <c r="A149" s="74"/>
      <c r="B149" s="74"/>
      <c r="C149" s="74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  <c r="AZ149" s="84"/>
      <c r="BA149" s="84"/>
    </row>
    <row r="150" spans="1:53" ht="16.5" customHeight="1">
      <c r="A150" s="74"/>
      <c r="B150" s="74"/>
      <c r="C150" s="74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  <c r="AZ150" s="84"/>
      <c r="BA150" s="84"/>
    </row>
    <row r="151" spans="1:53" ht="16.5" customHeight="1">
      <c r="A151" s="74"/>
      <c r="B151" s="74"/>
      <c r="C151" s="74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/>
    </row>
    <row r="152" spans="1:53" ht="16.5" customHeight="1">
      <c r="A152" s="74"/>
      <c r="B152" s="74"/>
      <c r="C152" s="74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  <c r="AZ152" s="84"/>
      <c r="BA152" s="84"/>
    </row>
    <row r="153" spans="1:53" ht="16.5" customHeight="1">
      <c r="A153" s="74"/>
      <c r="B153" s="74"/>
      <c r="C153" s="74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</row>
    <row r="154" spans="1:53" ht="16.5" customHeight="1">
      <c r="A154" s="74"/>
      <c r="B154" s="74"/>
      <c r="C154" s="74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</row>
    <row r="155" spans="1:53" ht="16.5" customHeight="1">
      <c r="A155" s="74"/>
      <c r="B155" s="74"/>
      <c r="C155" s="74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</row>
    <row r="156" spans="1:53" ht="16.5" customHeight="1">
      <c r="A156" s="74"/>
      <c r="B156" s="74"/>
      <c r="C156" s="74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</row>
    <row r="157" spans="1:53" ht="16.5" customHeight="1">
      <c r="A157" s="74"/>
      <c r="B157" s="74"/>
      <c r="C157" s="74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</row>
    <row r="158" spans="1:53" ht="16.5" customHeight="1">
      <c r="A158" s="74"/>
      <c r="B158" s="74"/>
      <c r="C158" s="74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</row>
    <row r="159" spans="1:53" ht="16.5" customHeight="1">
      <c r="A159" s="74"/>
      <c r="B159" s="74"/>
      <c r="C159" s="74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</row>
    <row r="160" spans="1:53" ht="16.5" customHeight="1">
      <c r="A160" s="74"/>
      <c r="B160" s="74"/>
      <c r="C160" s="74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</row>
    <row r="161" spans="1:53" ht="16.5" customHeight="1">
      <c r="A161" s="74"/>
      <c r="B161" s="74"/>
      <c r="C161" s="74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</row>
    <row r="162" spans="1:53" ht="16.5" customHeight="1">
      <c r="A162" s="74"/>
      <c r="B162" s="74"/>
      <c r="C162" s="74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</row>
    <row r="163" spans="1:53" ht="16.5" customHeight="1">
      <c r="A163" s="74"/>
      <c r="B163" s="74"/>
      <c r="C163" s="74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</row>
    <row r="164" spans="1:53" ht="16.5" customHeight="1">
      <c r="A164" s="74"/>
      <c r="B164" s="74"/>
      <c r="C164" s="74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</row>
    <row r="165" spans="1:53" ht="16.5" customHeight="1">
      <c r="A165" s="74"/>
      <c r="B165" s="74"/>
      <c r="C165" s="74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</row>
    <row r="166" spans="1:53" ht="16.5" customHeight="1">
      <c r="A166" s="74"/>
      <c r="B166" s="74"/>
      <c r="C166" s="74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</row>
    <row r="167" spans="1:53" ht="16.5" customHeight="1">
      <c r="A167" s="74"/>
      <c r="B167" s="74"/>
      <c r="C167" s="74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</row>
    <row r="168" spans="1:53" ht="16.5" customHeight="1">
      <c r="A168" s="74"/>
      <c r="B168" s="74"/>
      <c r="C168" s="74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</row>
    <row r="169" spans="1:53" ht="16.5" customHeight="1">
      <c r="A169" s="74"/>
      <c r="B169" s="74"/>
      <c r="C169" s="74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</row>
    <row r="170" spans="1:53" ht="16.5" customHeight="1">
      <c r="A170" s="74"/>
      <c r="B170" s="74"/>
      <c r="C170" s="74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</row>
    <row r="171" spans="1:53" ht="16.5" customHeight="1">
      <c r="A171" s="74"/>
      <c r="B171" s="74"/>
      <c r="C171" s="74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</row>
    <row r="172" spans="1:53" ht="16.5" customHeight="1">
      <c r="A172" s="74"/>
      <c r="B172" s="74"/>
      <c r="C172" s="74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</row>
    <row r="173" spans="1:53" ht="16.5" customHeight="1">
      <c r="A173" s="74"/>
      <c r="B173" s="74"/>
      <c r="C173" s="74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</row>
    <row r="174" spans="1:53" ht="16.5" customHeight="1">
      <c r="A174" s="74"/>
      <c r="B174" s="74"/>
      <c r="C174" s="74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</row>
    <row r="175" spans="1:53" ht="16.5" customHeight="1">
      <c r="A175" s="74"/>
      <c r="B175" s="74"/>
      <c r="C175" s="74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</row>
    <row r="176" spans="1:53" ht="16.5" customHeight="1">
      <c r="A176" s="74"/>
      <c r="B176" s="74"/>
      <c r="C176" s="74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</row>
    <row r="177" spans="1:53" ht="16.5" customHeight="1">
      <c r="A177" s="74"/>
      <c r="B177" s="74"/>
      <c r="C177" s="74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</row>
    <row r="178" spans="1:53" ht="16.5" customHeight="1">
      <c r="A178" s="74"/>
      <c r="B178" s="74"/>
      <c r="C178" s="74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</row>
    <row r="179" spans="1:53" ht="16.5" customHeight="1">
      <c r="A179" s="74"/>
      <c r="B179" s="74"/>
      <c r="C179" s="74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</row>
    <row r="180" spans="1:53" ht="16.5" customHeight="1">
      <c r="A180" s="74"/>
      <c r="B180" s="74"/>
      <c r="C180" s="74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</row>
    <row r="181" spans="1:53" ht="16.5" customHeight="1">
      <c r="A181" s="74"/>
      <c r="B181" s="74"/>
      <c r="C181" s="74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</row>
    <row r="182" spans="1:53" ht="16.5" customHeight="1">
      <c r="A182" s="74"/>
      <c r="B182" s="74"/>
      <c r="C182" s="74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</row>
    <row r="183" spans="1:53" ht="16.5" customHeight="1">
      <c r="A183" s="74"/>
      <c r="B183" s="74"/>
      <c r="C183" s="74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</row>
    <row r="184" spans="1:53" ht="16.5" customHeight="1">
      <c r="A184" s="74"/>
      <c r="B184" s="74"/>
      <c r="C184" s="74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</row>
    <row r="185" spans="1:53" ht="16.5" customHeight="1">
      <c r="A185" s="74"/>
      <c r="B185" s="74"/>
      <c r="C185" s="74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</row>
    <row r="186" spans="1:53" ht="16.5" customHeight="1">
      <c r="A186" s="74"/>
      <c r="B186" s="74"/>
      <c r="C186" s="74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</row>
    <row r="187" spans="1:53" ht="16.5" customHeight="1">
      <c r="A187" s="74"/>
      <c r="B187" s="74"/>
      <c r="C187" s="74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</row>
    <row r="188" spans="1:53" ht="16.5" customHeight="1">
      <c r="A188" s="74"/>
      <c r="B188" s="74"/>
      <c r="C188" s="74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</row>
    <row r="189" spans="1:53" ht="16.5" customHeight="1">
      <c r="A189" s="74"/>
      <c r="B189" s="74"/>
      <c r="C189" s="74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</row>
    <row r="190" spans="1:53" ht="16.5" customHeight="1">
      <c r="A190" s="74"/>
      <c r="B190" s="74"/>
      <c r="C190" s="74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</row>
    <row r="191" spans="1:53" ht="16.5" customHeight="1">
      <c r="A191" s="74"/>
      <c r="B191" s="74"/>
      <c r="C191" s="74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</row>
    <row r="192" spans="1:53" ht="16.5" customHeight="1">
      <c r="A192" s="74"/>
      <c r="B192" s="74"/>
      <c r="C192" s="74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</row>
    <row r="193" spans="1:53" ht="16.5" customHeight="1">
      <c r="A193" s="74"/>
      <c r="B193" s="74"/>
      <c r="C193" s="74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</row>
    <row r="194" spans="1:53" ht="16.5" customHeight="1">
      <c r="A194" s="74"/>
      <c r="B194" s="74"/>
      <c r="C194" s="74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</row>
    <row r="195" spans="1:53" ht="16.5" customHeight="1">
      <c r="A195" s="74"/>
      <c r="B195" s="74"/>
      <c r="C195" s="74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</row>
    <row r="196" spans="1:53" ht="16.5" customHeight="1">
      <c r="A196" s="74"/>
      <c r="B196" s="74"/>
      <c r="C196" s="74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</row>
    <row r="197" spans="1:53" ht="16.5" customHeight="1">
      <c r="A197" s="74"/>
      <c r="B197" s="74"/>
      <c r="C197" s="74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</row>
    <row r="198" spans="1:53" ht="16.5" customHeight="1">
      <c r="A198" s="74"/>
      <c r="B198" s="74"/>
      <c r="C198" s="74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</row>
    <row r="199" spans="1:53" ht="16.5" customHeight="1">
      <c r="A199" s="74"/>
      <c r="B199" s="74"/>
      <c r="C199" s="74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</row>
    <row r="200" spans="1:53" ht="16.5" customHeight="1">
      <c r="A200" s="74"/>
      <c r="B200" s="74"/>
      <c r="C200" s="74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</row>
    <row r="201" spans="1:53" ht="16.5" customHeight="1">
      <c r="A201" s="74"/>
      <c r="B201" s="74"/>
      <c r="C201" s="74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</row>
    <row r="202" spans="1:53" ht="16.5" customHeight="1">
      <c r="A202" s="74"/>
      <c r="B202" s="74"/>
      <c r="C202" s="74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</row>
    <row r="203" spans="1:53" ht="16.5" customHeight="1">
      <c r="A203" s="74"/>
      <c r="B203" s="74"/>
      <c r="C203" s="74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</row>
    <row r="204" spans="1:53" ht="16.5" customHeight="1">
      <c r="A204" s="74"/>
      <c r="B204" s="74"/>
      <c r="C204" s="74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</row>
    <row r="205" spans="1:53" ht="16.5" customHeight="1">
      <c r="A205" s="74"/>
      <c r="B205" s="74"/>
      <c r="C205" s="74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</row>
    <row r="206" spans="1:53" ht="16.5" customHeight="1">
      <c r="A206" s="74"/>
      <c r="B206" s="74"/>
      <c r="C206" s="74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  <c r="AZ206" s="84"/>
      <c r="BA206" s="84"/>
    </row>
    <row r="207" spans="1:53" ht="16.5" customHeight="1">
      <c r="A207" s="74"/>
      <c r="B207" s="74"/>
      <c r="C207" s="74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</row>
    <row r="208" spans="1:53" ht="16.5" customHeight="1">
      <c r="A208" s="74"/>
      <c r="B208" s="74"/>
      <c r="C208" s="74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  <c r="AZ208" s="84"/>
      <c r="BA208" s="84"/>
    </row>
    <row r="209" spans="1:53" ht="16.5" customHeight="1">
      <c r="A209" s="74"/>
      <c r="B209" s="74"/>
      <c r="C209" s="74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  <c r="AZ209" s="84"/>
      <c r="BA209" s="84"/>
    </row>
    <row r="210" spans="1:53" ht="16.5" customHeight="1">
      <c r="A210" s="84"/>
      <c r="B210" s="84"/>
      <c r="C210" s="84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  <c r="AZ210" s="84"/>
      <c r="BA210" s="84"/>
    </row>
    <row r="211" spans="1:53" ht="16.5" customHeight="1">
      <c r="A211" s="84"/>
      <c r="B211" s="84"/>
      <c r="C211" s="84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  <c r="AZ211" s="84"/>
      <c r="BA211" s="84"/>
    </row>
    <row r="212" spans="1:53" ht="15.75" customHeight="1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  <c r="AZ212" s="84"/>
      <c r="BA212" s="84"/>
    </row>
    <row r="213" spans="1:53" ht="15.75" customHeight="1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</row>
    <row r="214" spans="1:53" ht="15.75" customHeight="1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  <c r="AZ214" s="84"/>
      <c r="BA214" s="84"/>
    </row>
    <row r="215" spans="1:53" ht="15.75" customHeight="1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</row>
    <row r="216" spans="1:53" ht="15.75" customHeight="1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  <c r="AZ216" s="84"/>
      <c r="BA216" s="84"/>
    </row>
    <row r="217" spans="1:53" ht="15.75" customHeight="1"/>
    <row r="218" spans="1:53" ht="15.75" customHeight="1"/>
    <row r="219" spans="1:53" ht="15.75" customHeight="1"/>
    <row r="220" spans="1:53" ht="15.75" customHeight="1"/>
    <row r="221" spans="1:53" ht="15.75" customHeight="1"/>
    <row r="222" spans="1:53" ht="15.75" customHeight="1"/>
    <row r="223" spans="1:53" ht="15.75" customHeight="1"/>
    <row r="224" spans="1:5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48">
    <mergeCell ref="V3:W3"/>
    <mergeCell ref="X3:Y3"/>
    <mergeCell ref="H3:I3"/>
    <mergeCell ref="J3:K3"/>
    <mergeCell ref="L3:M3"/>
    <mergeCell ref="N3:O3"/>
    <mergeCell ref="P3:Q3"/>
    <mergeCell ref="R3:S3"/>
    <mergeCell ref="T3:U3"/>
    <mergeCell ref="AD1:AE1"/>
    <mergeCell ref="AF1:AG1"/>
    <mergeCell ref="L1:M1"/>
    <mergeCell ref="N1:O1"/>
    <mergeCell ref="P1:Q1"/>
    <mergeCell ref="R1:S1"/>
    <mergeCell ref="T1:U1"/>
    <mergeCell ref="V1:W1"/>
    <mergeCell ref="X1:Y1"/>
    <mergeCell ref="A1:A4"/>
    <mergeCell ref="B1:B4"/>
    <mergeCell ref="C1:C4"/>
    <mergeCell ref="D1:E1"/>
    <mergeCell ref="F1:G1"/>
    <mergeCell ref="D3:E3"/>
    <mergeCell ref="F3:G3"/>
    <mergeCell ref="D2:E2"/>
    <mergeCell ref="F2:G2"/>
    <mergeCell ref="AF2:AG2"/>
    <mergeCell ref="Z3:AA3"/>
    <mergeCell ref="AF3:AG3"/>
    <mergeCell ref="H1:I1"/>
    <mergeCell ref="J1:K1"/>
    <mergeCell ref="AB3:AC3"/>
    <mergeCell ref="AD3:AE3"/>
    <mergeCell ref="N2:O2"/>
    <mergeCell ref="P2:Q2"/>
    <mergeCell ref="R2:S2"/>
    <mergeCell ref="T2:U2"/>
    <mergeCell ref="H2:I2"/>
    <mergeCell ref="J2:K2"/>
    <mergeCell ref="L2:M2"/>
    <mergeCell ref="Z1:AA1"/>
    <mergeCell ref="AB1:AC1"/>
    <mergeCell ref="V2:W2"/>
    <mergeCell ref="X2:Y2"/>
    <mergeCell ref="Z2:AA2"/>
    <mergeCell ref="AB2:AC2"/>
    <mergeCell ref="AD2:AE2"/>
  </mergeCells>
  <phoneticPr fontId="23" type="noConversion"/>
  <pageMargins left="0.70866141732283505" right="0.70866141732283505" top="0.74803149606299202" bottom="0.74803149606299202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分數表</vt:lpstr>
      <vt:lpstr> 內政</vt:lpstr>
      <vt:lpstr>外交國防</vt:lpstr>
      <vt:lpstr>經濟</vt:lpstr>
      <vt:lpstr> 財政</vt:lpstr>
      <vt:lpstr>教育文化</vt:lpstr>
      <vt:lpstr>交通</vt:lpstr>
      <vt:lpstr> 司法法制</vt:lpstr>
      <vt:lpstr>社福衛環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盧俊諺</cp:lastModifiedBy>
  <dcterms:created xsi:type="dcterms:W3CDTF">2019-02-19T03:37:00Z</dcterms:created>
  <dcterms:modified xsi:type="dcterms:W3CDTF">2026-01-27T10:03:24Z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7413D1526F724E47B0FA4D0C39626609_12</vt:lpwstr>
  </property>
  <property fmtid="{D5CDD505-2E9C-101B-9397-08002B2CF9AE}" pid="3" name="KSOProductBuildVer">
    <vt:lpwstr>1033-12.2.0.20323</vt:lpwstr>
  </property>
</Properties>
</file>